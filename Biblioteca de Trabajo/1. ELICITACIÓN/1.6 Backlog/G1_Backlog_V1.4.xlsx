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eishel\Documents\U OCT25-MAR26\ANÁLISIS Y DISEÑO DE SOFTWARE\27835_G1_ADS\Biblioteca de Trabajo\1. ELICITACIÓN\1.6 Backlog\"/>
    </mc:Choice>
  </mc:AlternateContent>
  <xr:revisionPtr revIDLastSave="0" documentId="13_ncr:1_{10779BF2-1C24-4850-9BBD-92E17605B377}" xr6:coauthVersionLast="47" xr6:coauthVersionMax="47" xr10:uidLastSave="{00000000-0000-0000-0000-000000000000}"/>
  <bookViews>
    <workbookView xWindow="-108" yWindow="-108" windowWidth="23256" windowHeight="12456" activeTab="4" xr2:uid="{00000000-000D-0000-FFFF-FFFF00000000}"/>
  </bookViews>
  <sheets>
    <sheet name="Backlog" sheetId="1" r:id="rId1"/>
    <sheet name="sprint1" sheetId="2" r:id="rId2"/>
    <sheet name="sprint2" sheetId="4" r:id="rId3"/>
    <sheet name="sprint3" sheetId="6" r:id="rId4"/>
    <sheet name="burdonchart" sheetId="3"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oWtFQ1tWv0Sg2ONoGucA39mJyVyp+tZEzqkOZStHocs="/>
    </ext>
  </extLst>
</workbook>
</file>

<file path=xl/calcChain.xml><?xml version="1.0" encoding="utf-8"?>
<calcChain xmlns="http://schemas.openxmlformats.org/spreadsheetml/2006/main">
  <c r="U50" i="3" l="1"/>
  <c r="T50" i="3"/>
  <c r="S50" i="3"/>
  <c r="R50" i="3"/>
  <c r="Q50" i="3"/>
  <c r="P50" i="3"/>
  <c r="O50" i="3"/>
  <c r="N50" i="3"/>
  <c r="M50" i="3"/>
  <c r="L50" i="3"/>
  <c r="K50" i="3"/>
  <c r="J50" i="3"/>
  <c r="I50" i="3"/>
  <c r="H50" i="3"/>
  <c r="G50" i="3"/>
  <c r="F50" i="3"/>
  <c r="E50" i="3"/>
  <c r="D50" i="3"/>
  <c r="C50" i="3"/>
  <c r="J49" i="3" l="1"/>
  <c r="K49" i="3" s="1"/>
  <c r="L49" i="3" s="1"/>
  <c r="M49" i="3" s="1"/>
  <c r="N49" i="3" s="1"/>
  <c r="O49" i="3" s="1"/>
  <c r="P49" i="3" s="1"/>
  <c r="Q49" i="3" s="1"/>
  <c r="R49" i="3" s="1"/>
  <c r="S49" i="3" s="1"/>
  <c r="T49" i="3" s="1"/>
  <c r="U49" i="3" s="1"/>
  <c r="I49" i="3"/>
  <c r="H49" i="3"/>
  <c r="G49" i="3"/>
  <c r="F49" i="3"/>
  <c r="E49" i="3"/>
  <c r="D49" i="3"/>
  <c r="C49" i="3"/>
  <c r="V23" i="3"/>
  <c r="V3" i="3"/>
  <c r="V4" i="3"/>
  <c r="V5" i="3"/>
  <c r="V6" i="3"/>
  <c r="V7" i="3"/>
  <c r="V8" i="3"/>
  <c r="V9" i="3"/>
  <c r="V10" i="3"/>
  <c r="V11" i="3"/>
  <c r="V12" i="3"/>
  <c r="V13" i="3"/>
  <c r="V14" i="3"/>
  <c r="V15" i="3"/>
  <c r="V16" i="3"/>
  <c r="V17" i="3"/>
  <c r="V18" i="3"/>
  <c r="V19" i="3"/>
  <c r="V20" i="3"/>
  <c r="V21" i="3"/>
  <c r="V22" i="3"/>
  <c r="V24" i="3"/>
  <c r="V25" i="3"/>
  <c r="V26" i="3"/>
  <c r="V27" i="3"/>
  <c r="V28" i="3"/>
  <c r="V29" i="3"/>
  <c r="V30" i="3"/>
  <c r="V31" i="3"/>
  <c r="V32" i="3"/>
  <c r="V33" i="3"/>
  <c r="V34" i="3"/>
  <c r="V35" i="3"/>
  <c r="V36" i="3"/>
  <c r="V37" i="3"/>
  <c r="V38" i="3"/>
  <c r="V39" i="3"/>
  <c r="V40" i="3"/>
  <c r="V41" i="3"/>
  <c r="V42" i="3"/>
  <c r="V43" i="3"/>
  <c r="V44" i="3"/>
  <c r="V45" i="3"/>
  <c r="V46" i="3"/>
  <c r="V47" i="3"/>
</calcChain>
</file>

<file path=xl/sharedStrings.xml><?xml version="1.0" encoding="utf-8"?>
<sst xmlns="http://schemas.openxmlformats.org/spreadsheetml/2006/main" count="857" uniqueCount="282">
  <si>
    <t>ID</t>
  </si>
  <si>
    <t>Tema</t>
  </si>
  <si>
    <t>Como un…</t>
  </si>
  <si>
    <t>Necesito…</t>
  </si>
  <si>
    <t>Así podré…</t>
  </si>
  <si>
    <t>Notas</t>
  </si>
  <si>
    <t>Prioridad</t>
  </si>
  <si>
    <t>Estatus</t>
  </si>
  <si>
    <t>REQ001</t>
  </si>
  <si>
    <t>Iniciar sesión</t>
  </si>
  <si>
    <t>Validar credenciales para acceder al sistema</t>
  </si>
  <si>
    <t>Garantizar que solo usuarios autorizados ingresen y manejen la información</t>
  </si>
  <si>
    <t>Validar usuario, contraseña, intentos y manejo de errores</t>
  </si>
  <si>
    <t>Alta</t>
  </si>
  <si>
    <t>No iniciado</t>
  </si>
  <si>
    <t>REQ002</t>
  </si>
  <si>
    <t>Modificar contraseña</t>
  </si>
  <si>
    <t>Cambiar mi contraseña actual validando políticas de seguridad</t>
  </si>
  <si>
    <t>Mantener segura mi cuenta y actualizar credenciales cuando sea necesario</t>
  </si>
  <si>
    <t>Validar contraseña actual, nuevas políticas, confirmación y cifrado</t>
  </si>
  <si>
    <t>REQ003</t>
  </si>
  <si>
    <t>Añadir producto</t>
  </si>
  <si>
    <t>Administrador</t>
  </si>
  <si>
    <t>Registrar nombre, precio, categoría, material, color e imagen</t>
  </si>
  <si>
    <t>Mantener un catálogo actualizado para mostrar a los clientes</t>
  </si>
  <si>
    <t>Validar formato de precio e imagen; campos obligatorios</t>
  </si>
  <si>
    <t>REQ004</t>
  </si>
  <si>
    <t>Consultar producto</t>
  </si>
  <si>
    <t>Consultar productos por nombre, categoría, material, color o precio</t>
  </si>
  <si>
    <t>Localizar rápidamente productos para gestionarlos o mostrarlos</t>
  </si>
  <si>
    <t>Permitir búsqueda parcial y paginación</t>
  </si>
  <si>
    <t>REQ005</t>
  </si>
  <si>
    <t>Modificar producto</t>
  </si>
  <si>
    <t>Actualizar los datos de un producto existente</t>
  </si>
  <si>
    <t>Mantener información correcta y vigente en el catálogo</t>
  </si>
  <si>
    <t>Registrar fecha de última modificación</t>
  </si>
  <si>
    <t>REQ006</t>
  </si>
  <si>
    <t>Eliminar producto</t>
  </si>
  <si>
    <t>Eliminar un producto del catálogo</t>
  </si>
  <si>
    <t>Evitar mostrar productos obsoletos o fuera de venta</t>
  </si>
  <si>
    <t>Confirmación clara antes de borrar</t>
  </si>
  <si>
    <t>Media</t>
  </si>
  <si>
    <t>REQ007</t>
  </si>
  <si>
    <t>Restaurar producto</t>
  </si>
  <si>
    <t>Recuperar un producto eliminado lógicamente</t>
  </si>
  <si>
    <t>Reintegrarlo al catálogo y uso en proformas</t>
  </si>
  <si>
    <t>Validar duplicidad antes de restaurar</t>
  </si>
  <si>
    <t>REQ008</t>
  </si>
  <si>
    <t>Gestionar ofertas</t>
  </si>
  <si>
    <t>Registrar, modificar y eliminar ofertas de productos</t>
  </si>
  <si>
    <t>Aplicar descuentos oficiales sin errores</t>
  </si>
  <si>
    <t>Validar fechas de inicio y fin</t>
  </si>
  <si>
    <t>REQ009</t>
  </si>
  <si>
    <t>Visualizar catálogo de productos</t>
  </si>
  <si>
    <t>Cliente</t>
  </si>
  <si>
    <t>Ver catálogo con filtros básicos</t>
  </si>
  <si>
    <t>Consultar productos disponibles sin depender del administrador</t>
  </si>
  <si>
    <t>Optimizado para móviles</t>
  </si>
  <si>
    <t>REQ010</t>
  </si>
  <si>
    <t>Generar proforma</t>
  </si>
  <si>
    <t>Crear proforma con datos de cliente, productos y descuentos</t>
  </si>
  <si>
    <t>Emitir documentos claros con subtotal, impuestos y total</t>
  </si>
  <si>
    <t>Definir numeración estándar</t>
  </si>
  <si>
    <t>REQ011</t>
  </si>
  <si>
    <t>Actualizar proforma</t>
  </si>
  <si>
    <t>Editar una proforma existente</t>
  </si>
  <si>
    <t>Corregir información sin crear una nueva</t>
  </si>
  <si>
    <t>Registrar historial mínimo de cambios</t>
  </si>
  <si>
    <t>REQ012</t>
  </si>
  <si>
    <t>Consultar proforma</t>
  </si>
  <si>
    <t>Consultar proformas por número, cliente o fecha</t>
  </si>
  <si>
    <t>Encontrar proformas fácilmente</t>
  </si>
  <si>
    <t>Permitir ordenar por fecha y total</t>
  </si>
  <si>
    <t>REQ013</t>
  </si>
  <si>
    <t>Eliminar proforma</t>
  </si>
  <si>
    <t>Eliminar o anular una proforma</t>
  </si>
  <si>
    <t>Evitar usar proformas incorrectas en reportes</t>
  </si>
  <si>
    <t>Usar eliminación lógica (estado “Anulada”)</t>
  </si>
  <si>
    <t>REQ014</t>
  </si>
  <si>
    <t>Exportar proforma a PDF/Excel</t>
  </si>
  <si>
    <t>Exportar proforma a PDF y Excel</t>
  </si>
  <si>
    <t>Compartir con clientes o archivar</t>
  </si>
  <si>
    <t>Probar exportación en distintos navegadores</t>
  </si>
  <si>
    <t>REQ015</t>
  </si>
  <si>
    <t>Restaurar proforma</t>
  </si>
  <si>
    <t>Restaurar una proforma que fue eliminada lógicamente</t>
  </si>
  <si>
    <t>Recuperar información importante y volver a utilizarla o modificarla</t>
  </si>
  <si>
    <t>Solo restaurables si tienen menos de 1 año de eliminación; registrar usuario y fecha</t>
  </si>
  <si>
    <t>REQ016</t>
  </si>
  <si>
    <t>Compartir catálogo</t>
  </si>
  <si>
    <t>Compartir catálogo por redes y QR</t>
  </si>
  <si>
    <t>Difundir productos y atraer clientes</t>
  </si>
  <si>
    <t>Verificar lectura del QR en distintos dispositivos</t>
  </si>
  <si>
    <t>REQ017</t>
  </si>
  <si>
    <t>Reporte de proformas</t>
  </si>
  <si>
    <t>Generar reportes mensuales, anuales o por cliente</t>
  </si>
  <si>
    <t>Analizar ventas y tomar decisiones comerciales</t>
  </si>
  <si>
    <t>Permitir exportar a PDF/Excel</t>
  </si>
  <si>
    <t>Necesito</t>
  </si>
  <si>
    <t>Encargado</t>
  </si>
  <si>
    <t>Status</t>
  </si>
  <si>
    <t>Horas</t>
  </si>
  <si>
    <t>En proceso</t>
  </si>
  <si>
    <t>REQ001-1</t>
  </si>
  <si>
    <t>REQ001-2</t>
  </si>
  <si>
    <t>REQ001-3</t>
  </si>
  <si>
    <t>REQ001-4</t>
  </si>
  <si>
    <t xml:space="preserve">Administrador / Cliente </t>
  </si>
  <si>
    <t>REQ002-1</t>
  </si>
  <si>
    <t>Daniel Guamán</t>
  </si>
  <si>
    <t>REQ002-2</t>
  </si>
  <si>
    <t>REQ002-3</t>
  </si>
  <si>
    <t xml:space="preserve"> </t>
  </si>
  <si>
    <t>REQ002-4</t>
  </si>
  <si>
    <t>REQ003-1</t>
  </si>
  <si>
    <t>Jairo Bonilla</t>
  </si>
  <si>
    <t>REQ003-2</t>
  </si>
  <si>
    <t>REQ003-3</t>
  </si>
  <si>
    <t>REQ003-4</t>
  </si>
  <si>
    <t>REQ003-5</t>
  </si>
  <si>
    <t>REQ003-6</t>
  </si>
  <si>
    <t>REQ003-7</t>
  </si>
  <si>
    <t>REQ004-1</t>
  </si>
  <si>
    <t>REQ004-2</t>
  </si>
  <si>
    <t>REQ004-3</t>
  </si>
  <si>
    <t>REQ004-4</t>
  </si>
  <si>
    <t>REQ004-5</t>
  </si>
  <si>
    <t>Estimado</t>
  </si>
  <si>
    <t>Día 5</t>
  </si>
  <si>
    <t>Día 4</t>
  </si>
  <si>
    <t>Día 3</t>
  </si>
  <si>
    <t>Día 2</t>
  </si>
  <si>
    <t>Día 1</t>
  </si>
  <si>
    <t>Total de Horas</t>
  </si>
  <si>
    <t>Horas Estimadas</t>
  </si>
  <si>
    <t>Horas Estimadas
Restantes</t>
  </si>
  <si>
    <t>Planificado</t>
  </si>
  <si>
    <r>
      <t xml:space="preserve">Crear la tabla </t>
    </r>
    <r>
      <rPr>
        <sz val="10"/>
        <color rgb="FF000000"/>
        <rFont val="Arial Unicode MS"/>
      </rPr>
      <t>usuarios</t>
    </r>
    <r>
      <rPr>
        <sz val="10"/>
        <color rgb="FF000000"/>
        <rFont val="Arial"/>
        <family val="2"/>
        <scheme val="minor"/>
      </rPr>
      <t xml:space="preserve"> en MySQL con roles, intentos, expiración, estado</t>
    </r>
  </si>
  <si>
    <t>Crear servicio backend /auth/login validando credenciales con hash</t>
  </si>
  <si>
    <t>Implementar bloqueo de usuario por intentos fallidos y mensajes controlados</t>
  </si>
  <si>
    <t>Kevin Amaguaña</t>
  </si>
  <si>
    <t>Construir pantalla React para cambio con reglas visuales (contraseña fuerte, coincidencia)</t>
  </si>
  <si>
    <t>Agregar tabla y campos extras: última actualización, fecha, intentos</t>
  </si>
  <si>
    <r>
      <t xml:space="preserve">Crear API </t>
    </r>
    <r>
      <rPr>
        <sz val="10"/>
        <color rgb="FF000000"/>
        <rFont val="Arial Unicode MS"/>
      </rPr>
      <t>/auth/update-password</t>
    </r>
    <r>
      <rPr>
        <sz val="10"/>
        <color rgb="FF000000"/>
        <rFont val="Arial"/>
        <family val="2"/>
        <scheme val="minor"/>
      </rPr>
      <t xml:space="preserve"> validando contraseña actual</t>
    </r>
  </si>
  <si>
    <t>Implementar cifrado y validación de reglas (longitud, combinación)</t>
  </si>
  <si>
    <t>Crear tabla productos en MySQL (precio, color, categoría, img, fechas)</t>
  </si>
  <si>
    <t>Implementar API POST /productos para registrar productos</t>
  </si>
  <si>
    <t>Subida de imágenes a servidor (o carpeta storage) con validaciones de peso/formato</t>
  </si>
  <si>
    <t>Guardar URL de imagen en BD y asociarla al producto</t>
  </si>
  <si>
    <t>Crear mensajes de éxito/error y reset de campos</t>
  </si>
  <si>
    <r>
      <t xml:space="preserve">Crear API GET </t>
    </r>
    <r>
      <rPr>
        <sz val="10"/>
        <color rgb="FF000000"/>
        <rFont val="Arial Unicode MS"/>
      </rPr>
      <t>/productos</t>
    </r>
    <r>
      <rPr>
        <sz val="10"/>
        <color rgb="FF000000"/>
        <rFont val="Arial"/>
        <family val="2"/>
        <scheme val="minor"/>
      </rPr>
      <t xml:space="preserve"> con filtros (nombre, categoría, precio rango)</t>
    </r>
  </si>
  <si>
    <t>Implementar paginación en la API para optimizar resultados</t>
  </si>
  <si>
    <t>Validar parámetros de consulta desde frontend</t>
  </si>
  <si>
    <t>Construir pantalla React con tabla filtrada y paginada</t>
  </si>
  <si>
    <t>Construir formulario React (campos obligatorios y UX)</t>
  </si>
  <si>
    <t>Construir pantalla React (formulario del login, captura y consumo API)</t>
  </si>
  <si>
    <t>Verificar visualmente que el producto registrado aparece en la lista del catálogo</t>
  </si>
  <si>
    <t>Probar la consulta con filtros (nombre vacío, precios fuera de rango, categoría inexistente)</t>
  </si>
  <si>
    <t>Día 6</t>
  </si>
  <si>
    <t xml:space="preserve">Administrador </t>
  </si>
  <si>
    <t>Terminado</t>
  </si>
  <si>
    <t>Como un...</t>
  </si>
  <si>
    <t>Necesito...</t>
  </si>
  <si>
    <t>Así podré...</t>
  </si>
  <si>
    <t>REQ005-1</t>
  </si>
  <si>
    <t>Crear la funcionalidad de búsqueda de producto en el catálogo</t>
  </si>
  <si>
    <t>Buscar un producto para modificar sus datos</t>
  </si>
  <si>
    <t>Encontrar rápidamente el producto a modificar</t>
  </si>
  <si>
    <t>Utilizar búsqueda por nombre o categoría</t>
  </si>
  <si>
    <t>REQ005-2</t>
  </si>
  <si>
    <t>Implementar la lógica de actualización de producto en MySQL</t>
  </si>
  <si>
    <t>Modificar los datos de productos existentes en la base de datos</t>
  </si>
  <si>
    <t>Garantizar que los cambios se reflejen correctamente</t>
  </si>
  <si>
    <t>Validar los campos editados y guardar cambios</t>
  </si>
  <si>
    <t>REQ005-3</t>
  </si>
  <si>
    <t>Crear pantalla React para editar productos</t>
  </si>
  <si>
    <t>Permitir al administrador editar productos en la interfaz</t>
  </si>
  <si>
    <t>Facilitar la edición de datos del producto</t>
  </si>
  <si>
    <t>Incluir campos para todos los detalles del producto</t>
  </si>
  <si>
    <t>REQ005-4</t>
  </si>
  <si>
    <t>Validar mensajes de éxito/error al modificar producto</t>
  </si>
  <si>
    <t>Confirmar que la operación fue exitosa</t>
  </si>
  <si>
    <t>Proveer retroalimentación visual al usuario sobre la operación</t>
  </si>
  <si>
    <t>Mensajes claros de "Producto actualizado" y errores</t>
  </si>
  <si>
    <t>Eliminar productos obsoletos del catálogo</t>
  </si>
  <si>
    <t>Evitar mostrar productos no disponibles</t>
  </si>
  <si>
    <t>Mostrar mensaje de confirmación antes de eliminar</t>
  </si>
  <si>
    <t>REQ006-1</t>
  </si>
  <si>
    <t>Crear API DELETE /productos para eliminar producto</t>
  </si>
  <si>
    <t>Eliminar productos desde el backend</t>
  </si>
  <si>
    <t>Garantizar que los productos eliminados no aparezcan más</t>
  </si>
  <si>
    <t>Validar la existencia del producto antes de eliminar</t>
  </si>
  <si>
    <t>REQ006-2</t>
  </si>
  <si>
    <t>Agregar confirmación en la interfaz antes de eliminar</t>
  </si>
  <si>
    <t>Solicitar confirmación antes de eliminar un producto</t>
  </si>
  <si>
    <t>Prevenir eliminaciones accidentales</t>
  </si>
  <si>
    <t>Usar modal con opciones "Sí" y "No"</t>
  </si>
  <si>
    <t>Recuperar productos previamente eliminados</t>
  </si>
  <si>
    <t>Reintegrar productos al catálogo de forma segura</t>
  </si>
  <si>
    <t>Validar que no haya duplicados y registrar restauración</t>
  </si>
  <si>
    <t>REQ007-1</t>
  </si>
  <si>
    <t>Crear API para restaurar productos eliminados</t>
  </si>
  <si>
    <t>Restaurar productos eliminados del catálogo</t>
  </si>
  <si>
    <t>Mantener productos relevantes disponibles para la venta</t>
  </si>
  <si>
    <t>Cambiar el estado de "eliminado" a "activo"</t>
  </si>
  <si>
    <t>REQ007-2</t>
  </si>
  <si>
    <t>Crear interfaz React para restaurar productos</t>
  </si>
  <si>
    <t>Facilitar la restauración de productos desde la interfaz</t>
  </si>
  <si>
    <t>Mejorar la usabilidad del proceso de restauración</t>
  </si>
  <si>
    <t>Incluir lista de productos eliminados en la bandeja</t>
  </si>
  <si>
    <t>Aplicar descuentos controlados de manera automatizada</t>
  </si>
  <si>
    <t>Validar fechas de inicio y fin de la oferta</t>
  </si>
  <si>
    <t>REQ008-1</t>
  </si>
  <si>
    <t>Crear API para gestionar ofertas</t>
  </si>
  <si>
    <t>Permitir registrar y eliminar ofertas desde el backend</t>
  </si>
  <si>
    <t>Automatizar el proceso de descuentos en productos</t>
  </si>
  <si>
    <t>Validar que la oferta esté asociada correctamente al producto</t>
  </si>
  <si>
    <t>REQ008-2</t>
  </si>
  <si>
    <t>Construir pantalla React para gestionar ofertas</t>
  </si>
  <si>
    <t>Crear interfaz para registrar y modificar ofertas</t>
  </si>
  <si>
    <t>Mejorar la interacción de usuario al crear ofertas</t>
  </si>
  <si>
    <t>Incluir campos para precio, fecha y porcentaje de descuento</t>
  </si>
  <si>
    <t>REQ008-3</t>
  </si>
  <si>
    <t>Validar el cálculo del descuento y mostrar el precio actualizado</t>
  </si>
  <si>
    <t>Asegurar que el descuento se calcule correctamente</t>
  </si>
  <si>
    <t>Evitar errores en los precios mostrados al cliente</t>
  </si>
  <si>
    <t>Verificar que el precio con descuento se muestre correctamente</t>
  </si>
  <si>
    <t>REQ009-1</t>
  </si>
  <si>
    <t>REQ009-2</t>
  </si>
  <si>
    <t>REQ009-3</t>
  </si>
  <si>
    <t>REQ009-4</t>
  </si>
  <si>
    <t>Crear endpoint GET público de productos</t>
  </si>
  <si>
    <t>Implementar filtros básicos en backend</t>
  </si>
  <si>
    <t>Construir vista React del catálogo público</t>
  </si>
  <si>
    <t>Probar visualización desde perfil cliente</t>
  </si>
  <si>
    <t>REQ010-1</t>
  </si>
  <si>
    <t>REQ010-2</t>
  </si>
  <si>
    <t>REQ010-3</t>
  </si>
  <si>
    <t>REQ010-4</t>
  </si>
  <si>
    <t>Crear tabla proformas y detalle en MySQL</t>
  </si>
  <si>
    <t>Implementar API POST /proformas</t>
  </si>
  <si>
    <t>Aplicar ofertas al cálculo de proforma</t>
  </si>
  <si>
    <t>Construir pantalla React para proformas</t>
  </si>
  <si>
    <t xml:space="preserve">Terminado </t>
  </si>
  <si>
    <t>REQ011-1</t>
  </si>
  <si>
    <t>REQ011-2</t>
  </si>
  <si>
    <t>REQ011-3</t>
  </si>
  <si>
    <t>Implementar API PUT /proformas/{id}</t>
  </si>
  <si>
    <t>Recalcular totales al editar</t>
  </si>
  <si>
    <t>Construir pantalla React de edición</t>
  </si>
  <si>
    <t>Iniciado</t>
  </si>
  <si>
    <t>Implementar API GET /proformas con filtros</t>
  </si>
  <si>
    <t>Construir vista React de consulta</t>
  </si>
  <si>
    <t>Probar consultas por distintos criterios</t>
  </si>
  <si>
    <t>REQ0012-1</t>
  </si>
  <si>
    <t>REQ0012-2</t>
  </si>
  <si>
    <t>REQ0012-3</t>
  </si>
  <si>
    <t>Buscar proformas por criterios</t>
  </si>
  <si>
    <t>Corregir errores sin crear otra</t>
  </si>
  <si>
    <t>Crear proformas con productos y descuentos</t>
  </si>
  <si>
    <t>Emitir documentos claros</t>
  </si>
  <si>
    <t>Ver el catálogo con filtros básicos</t>
  </si>
  <si>
    <t>REQ0010-1</t>
  </si>
  <si>
    <t>REQ0010-2</t>
  </si>
  <si>
    <t>REQ0010-3</t>
  </si>
  <si>
    <t>REQ0010-4</t>
  </si>
  <si>
    <t>REQ0011-1</t>
  </si>
  <si>
    <t>REQ0011-2</t>
  </si>
  <si>
    <t>REQ0011-3</t>
  </si>
  <si>
    <t>Día 7</t>
  </si>
  <si>
    <t>Día 8</t>
  </si>
  <si>
    <t>Día 9</t>
  </si>
  <si>
    <t>Día 10</t>
  </si>
  <si>
    <t>Día 18</t>
  </si>
  <si>
    <t>Día 17</t>
  </si>
  <si>
    <t>Día 16</t>
  </si>
  <si>
    <t>Día 15</t>
  </si>
  <si>
    <t>Día 14</t>
  </si>
  <si>
    <t>Día 13</t>
  </si>
  <si>
    <t>Día 12</t>
  </si>
  <si>
    <t>Día 11</t>
  </si>
  <si>
    <t>A partir del Burndown Chart acumulado de los tres sprints, se evidencia una reducción progresiva y sostenida del trabajo pendiente a lo largo de los 18 días de desarrollo, lo que refleja una planificación adecuada y un seguimiento constante del esfuerzo del equipo. La diferencia entre la línea ideal y la línea real muestra variaciones normales propias del proceso de desarrollo, especialmente en los sprints intermedios, donde el avance fue más acelerado de lo previsto, permitiendo recuperar retrasos iniciales. Finalmente, el proyecto logra cerrar el total de horas estimadas dentro del período planificado, demostrando una correcta aplicación de los principios de Scrum, una buena capacidad de estimación y un control efectivo del avance del proyecto a lo largo de los tres sprints.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</si>
</sst>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7">
    <font>
      <sz val="10"/>
      <color rgb="FF000000"/>
      <name val="Arial"/>
      <scheme val="minor"/>
    </font>
    <font>
      <sz val="12"/>
      <color rgb="FFFF0000"/>
      <name val="Arial"/>
    </font>
    <font>
      <sz val="10"/>
      <color rgb="FF2F5496"/>
      <name val="Arial"/>
    </font>
    <font>
      <sz val="10"/>
      <color theme="1"/>
      <name val="Arial"/>
    </font>
    <font>
      <sz val="10"/>
      <color theme="1"/>
      <name val="Arial"/>
      <scheme val="minor"/>
    </font>
    <font>
      <b/>
      <sz val="10"/>
      <color rgb="FF000000"/>
      <name val="Arial"/>
      <scheme val="minor"/>
    </font>
    <font>
      <b/>
      <sz val="10"/>
      <color rgb="FFFF0000"/>
      <name val="Arial"/>
      <scheme val="minor"/>
    </font>
    <font>
      <b/>
      <sz val="10"/>
      <color theme="1"/>
      <name val="Arial"/>
      <scheme val="minor"/>
    </font>
    <font>
      <sz val="10"/>
      <color rgb="FF000000"/>
      <name val="Arial Unicode MS"/>
    </font>
    <font>
      <sz val="10"/>
      <color rgb="FF000000"/>
      <name val="Arial"/>
      <family val="2"/>
      <scheme val="minor"/>
    </font>
    <font>
      <sz val="10"/>
      <color rgb="FFFF0000"/>
      <name val="Arial"/>
      <family val="2"/>
    </font>
    <font>
      <b/>
      <sz val="10"/>
      <color theme="1"/>
      <name val="Arial"/>
      <family val="2"/>
      <scheme val="minor"/>
    </font>
    <font>
      <b/>
      <sz val="10"/>
      <color rgb="FF000000"/>
      <name val="Arial"/>
      <family val="2"/>
      <scheme val="minor"/>
    </font>
    <font>
      <sz val="10"/>
      <color rgb="FF2F5496"/>
      <name val="Arial"/>
      <family val="2"/>
    </font>
    <font>
      <sz val="8"/>
      <name val="Arial"/>
      <scheme val="minor"/>
    </font>
    <font>
      <b/>
      <sz val="10"/>
      <color rgb="FFFF0000"/>
      <name val="Arial"/>
      <family val="2"/>
      <scheme val="minor"/>
    </font>
    <font>
      <sz val="10"/>
      <color rgb="FFFF0000"/>
      <name val="Arial"/>
      <family val="2"/>
      <scheme val="minor"/>
    </font>
  </fonts>
  <fills count="7">
    <fill>
      <patternFill patternType="none"/>
    </fill>
    <fill>
      <patternFill patternType="gray125"/>
    </fill>
    <fill>
      <patternFill patternType="solid">
        <fgColor rgb="FFFF9900"/>
        <bgColor rgb="FFFF9900"/>
      </patternFill>
    </fill>
    <fill>
      <patternFill patternType="solid">
        <fgColor theme="9" tint="0.59999389629810485"/>
        <bgColor indexed="64"/>
      </patternFill>
    </fill>
    <fill>
      <patternFill patternType="solid">
        <fgColor theme="0"/>
        <bgColor indexed="64"/>
      </patternFill>
    </fill>
    <fill>
      <patternFill patternType="solid">
        <fgColor theme="6" tint="0.39997558519241921"/>
        <bgColor indexed="64"/>
      </patternFill>
    </fill>
    <fill>
      <patternFill patternType="solid">
        <fgColor rgb="FF6FAB65"/>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87">
    <xf numFmtId="0" fontId="0" fillId="0" borderId="0" xfId="0"/>
    <xf numFmtId="0" fontId="5" fillId="0" borderId="1" xfId="0" applyFont="1" applyBorder="1"/>
    <xf numFmtId="0" fontId="0" fillId="0" borderId="1" xfId="0" applyBorder="1"/>
    <xf numFmtId="0" fontId="0" fillId="0" borderId="2" xfId="0" applyBorder="1"/>
    <xf numFmtId="0" fontId="5" fillId="0" borderId="0" xfId="0" applyFont="1"/>
    <xf numFmtId="0" fontId="0" fillId="0" borderId="0" xfId="0" applyAlignment="1">
      <alignment vertical="top" wrapText="1"/>
    </xf>
    <xf numFmtId="0" fontId="0" fillId="0" borderId="2" xfId="0" applyBorder="1" applyAlignment="1">
      <alignment vertical="top" wrapText="1"/>
    </xf>
    <xf numFmtId="0" fontId="5" fillId="0" borderId="1" xfId="0" applyFont="1" applyBorder="1" applyAlignment="1">
      <alignment vertical="top" wrapText="1"/>
    </xf>
    <xf numFmtId="0" fontId="2" fillId="0" borderId="2" xfId="0" applyFont="1" applyBorder="1" applyAlignment="1">
      <alignment vertical="top" wrapText="1"/>
    </xf>
    <xf numFmtId="0" fontId="5" fillId="0" borderId="1" xfId="0" applyFont="1" applyBorder="1" applyAlignment="1">
      <alignment horizontal="left" vertical="top" wrapText="1"/>
    </xf>
    <xf numFmtId="0" fontId="2" fillId="0" borderId="0" xfId="0" applyFont="1" applyAlignment="1">
      <alignment vertical="top" wrapText="1"/>
    </xf>
    <xf numFmtId="0" fontId="0" fillId="0" borderId="1" xfId="0" applyBorder="1" applyAlignment="1">
      <alignment vertical="top" wrapText="1"/>
    </xf>
    <xf numFmtId="0" fontId="0" fillId="0" borderId="1" xfId="0" applyBorder="1" applyAlignment="1">
      <alignment horizontal="right" vertical="top" wrapText="1"/>
    </xf>
    <xf numFmtId="0" fontId="4" fillId="4" borderId="1" xfId="0" applyFont="1" applyFill="1" applyBorder="1" applyAlignment="1">
      <alignment vertical="top" wrapText="1"/>
    </xf>
    <xf numFmtId="0" fontId="0" fillId="0" borderId="7" xfId="0" applyBorder="1" applyAlignment="1">
      <alignment vertical="top" wrapText="1"/>
    </xf>
    <xf numFmtId="0" fontId="0" fillId="0" borderId="4" xfId="0" applyBorder="1"/>
    <xf numFmtId="0" fontId="6" fillId="0" borderId="1" xfId="0" applyFont="1" applyBorder="1" applyAlignment="1">
      <alignment vertical="top" wrapText="1"/>
    </xf>
    <xf numFmtId="0" fontId="1" fillId="0" borderId="2" xfId="0" applyFont="1" applyBorder="1" applyAlignment="1">
      <alignment vertical="top" wrapText="1"/>
    </xf>
    <xf numFmtId="0" fontId="1" fillId="0" borderId="0" xfId="0" applyFont="1" applyAlignment="1">
      <alignment vertical="top" wrapText="1"/>
    </xf>
    <xf numFmtId="0" fontId="7" fillId="0" borderId="1" xfId="0" applyFont="1" applyBorder="1" applyAlignment="1">
      <alignment vertical="top" wrapText="1"/>
    </xf>
    <xf numFmtId="0" fontId="5" fillId="0" borderId="0" xfId="0" applyFont="1" applyAlignment="1">
      <alignment vertical="top" wrapText="1"/>
    </xf>
    <xf numFmtId="0" fontId="9" fillId="0" borderId="0" xfId="0" applyFont="1"/>
    <xf numFmtId="0" fontId="9" fillId="0" borderId="0" xfId="0" applyFont="1" applyAlignment="1">
      <alignment vertical="top" wrapText="1"/>
    </xf>
    <xf numFmtId="0" fontId="9" fillId="0" borderId="3" xfId="0" applyFont="1" applyBorder="1" applyAlignment="1">
      <alignment horizontal="left" vertical="top" wrapText="1"/>
    </xf>
    <xf numFmtId="0" fontId="10" fillId="0" borderId="0" xfId="0" applyFont="1" applyAlignment="1">
      <alignment vertical="top" wrapText="1"/>
    </xf>
    <xf numFmtId="0" fontId="9" fillId="0" borderId="1" xfId="0" applyFont="1" applyBorder="1" applyAlignment="1">
      <alignment vertical="top" wrapText="1"/>
    </xf>
    <xf numFmtId="0" fontId="5" fillId="4" borderId="3" xfId="0" applyFont="1" applyFill="1" applyBorder="1" applyAlignment="1">
      <alignment horizontal="left" vertical="top" wrapText="1"/>
    </xf>
    <xf numFmtId="0" fontId="5" fillId="0" borderId="3" xfId="0" applyFont="1" applyBorder="1" applyAlignment="1">
      <alignment horizontal="left" vertical="top" wrapText="1"/>
    </xf>
    <xf numFmtId="0" fontId="0" fillId="0" borderId="9" xfId="0" applyBorder="1" applyAlignment="1">
      <alignment vertical="top" wrapText="1"/>
    </xf>
    <xf numFmtId="0" fontId="9" fillId="0" borderId="8" xfId="0" applyFont="1" applyBorder="1" applyAlignment="1">
      <alignment vertical="top" wrapText="1"/>
    </xf>
    <xf numFmtId="0" fontId="9" fillId="0" borderId="0" xfId="0" applyFont="1" applyAlignment="1">
      <alignment vertical="center" wrapText="1"/>
    </xf>
    <xf numFmtId="0" fontId="4" fillId="4" borderId="7" xfId="0" applyFont="1" applyFill="1" applyBorder="1" applyAlignment="1">
      <alignment vertical="top" wrapText="1"/>
    </xf>
    <xf numFmtId="0" fontId="11" fillId="5" borderId="1" xfId="0" applyFont="1" applyFill="1" applyBorder="1" applyAlignment="1">
      <alignment vertical="top" wrapText="1"/>
    </xf>
    <xf numFmtId="0" fontId="12" fillId="5" borderId="1" xfId="0" applyFont="1" applyFill="1" applyBorder="1" applyAlignment="1">
      <alignment vertical="top" wrapText="1"/>
    </xf>
    <xf numFmtId="0" fontId="12" fillId="5" borderId="4" xfId="0" applyFont="1" applyFill="1" applyBorder="1" applyAlignment="1">
      <alignment horizontal="right" vertical="top" wrapText="1"/>
    </xf>
    <xf numFmtId="0" fontId="12" fillId="5" borderId="4" xfId="0" applyFont="1" applyFill="1" applyBorder="1" applyAlignment="1">
      <alignment vertical="top" wrapText="1"/>
    </xf>
    <xf numFmtId="0" fontId="12" fillId="5" borderId="5" xfId="0" applyFont="1" applyFill="1" applyBorder="1" applyAlignment="1">
      <alignment horizontal="right" vertical="top" wrapText="1"/>
    </xf>
    <xf numFmtId="0" fontId="13" fillId="0" borderId="2" xfId="0" applyFont="1" applyBorder="1" applyAlignment="1">
      <alignment vertical="top" wrapText="1"/>
    </xf>
    <xf numFmtId="0" fontId="3" fillId="2" borderId="8" xfId="0" applyFont="1" applyFill="1" applyBorder="1"/>
    <xf numFmtId="0" fontId="3" fillId="0" borderId="8" xfId="0" applyFont="1" applyBorder="1"/>
    <xf numFmtId="0" fontId="5" fillId="0" borderId="4" xfId="0" applyFont="1" applyBorder="1"/>
    <xf numFmtId="0" fontId="12" fillId="0" borderId="4" xfId="0" applyFont="1" applyBorder="1"/>
    <xf numFmtId="0" fontId="0" fillId="3" borderId="8" xfId="0" applyFill="1" applyBorder="1"/>
    <xf numFmtId="0" fontId="5" fillId="0" borderId="6" xfId="0" applyFont="1" applyBorder="1"/>
    <xf numFmtId="0" fontId="5" fillId="0" borderId="8" xfId="0" applyFont="1" applyBorder="1"/>
    <xf numFmtId="0" fontId="12" fillId="0" borderId="0" xfId="0" applyFont="1" applyAlignment="1">
      <alignment horizontal="center" vertical="center" wrapText="1"/>
    </xf>
    <xf numFmtId="0" fontId="12" fillId="0" borderId="0" xfId="0" applyFont="1" applyAlignment="1">
      <alignment vertical="center" wrapText="1"/>
    </xf>
    <xf numFmtId="0" fontId="9" fillId="0" borderId="8" xfId="0" applyFont="1" applyBorder="1" applyAlignment="1">
      <alignment vertical="center" wrapText="1"/>
    </xf>
    <xf numFmtId="0" fontId="9" fillId="0" borderId="4" xfId="0" applyFont="1" applyBorder="1" applyAlignment="1">
      <alignment vertical="top" wrapText="1"/>
    </xf>
    <xf numFmtId="0" fontId="5" fillId="0" borderId="0" xfId="0" applyFont="1" applyAlignment="1">
      <alignment horizontal="center" vertical="center" wrapText="1"/>
    </xf>
    <xf numFmtId="0" fontId="0" fillId="0" borderId="0" xfId="0" applyAlignment="1">
      <alignment vertical="center" wrapText="1"/>
    </xf>
    <xf numFmtId="0" fontId="5" fillId="0" borderId="6" xfId="0" applyFont="1" applyBorder="1" applyAlignment="1">
      <alignment horizontal="left" vertical="top" wrapText="1"/>
    </xf>
    <xf numFmtId="0" fontId="9" fillId="0" borderId="10" xfId="0" applyFont="1" applyBorder="1" applyAlignment="1">
      <alignment vertical="top" wrapText="1"/>
    </xf>
    <xf numFmtId="0" fontId="4" fillId="4" borderId="9" xfId="0" applyFont="1" applyFill="1" applyBorder="1" applyAlignment="1">
      <alignment vertical="top" wrapText="1"/>
    </xf>
    <xf numFmtId="0" fontId="0" fillId="0" borderId="4" xfId="0" applyBorder="1" applyAlignment="1">
      <alignment vertical="top" wrapText="1"/>
    </xf>
    <xf numFmtId="0" fontId="0" fillId="0" borderId="4" xfId="0" applyBorder="1" applyAlignment="1">
      <alignment horizontal="right" vertical="top" wrapText="1"/>
    </xf>
    <xf numFmtId="0" fontId="0" fillId="0" borderId="8" xfId="0" applyBorder="1" applyAlignment="1">
      <alignment vertical="center" wrapText="1"/>
    </xf>
    <xf numFmtId="0" fontId="12" fillId="5" borderId="8" xfId="0" applyFont="1" applyFill="1" applyBorder="1" applyAlignment="1">
      <alignment vertical="center" wrapText="1"/>
    </xf>
    <xf numFmtId="0" fontId="5" fillId="0" borderId="8" xfId="0" applyFont="1" applyBorder="1" applyAlignment="1">
      <alignment horizontal="left" vertical="top" wrapText="1"/>
    </xf>
    <xf numFmtId="0" fontId="4" fillId="4" borderId="8" xfId="0" applyFont="1" applyFill="1" applyBorder="1" applyAlignment="1">
      <alignment vertical="top" wrapText="1"/>
    </xf>
    <xf numFmtId="0" fontId="0" fillId="0" borderId="8" xfId="0" applyBorder="1" applyAlignment="1">
      <alignment vertical="top" wrapText="1"/>
    </xf>
    <xf numFmtId="0" fontId="0" fillId="0" borderId="8" xfId="0" applyBorder="1" applyAlignment="1">
      <alignment horizontal="right" vertical="top" wrapText="1"/>
    </xf>
    <xf numFmtId="0" fontId="0" fillId="0" borderId="7" xfId="0" applyBorder="1"/>
    <xf numFmtId="0" fontId="0" fillId="0" borderId="9" xfId="0" applyBorder="1"/>
    <xf numFmtId="0" fontId="15" fillId="0" borderId="11" xfId="0" applyFont="1" applyFill="1" applyBorder="1" applyAlignment="1">
      <alignment vertical="center" wrapText="1"/>
    </xf>
    <xf numFmtId="0" fontId="16" fillId="0" borderId="11" xfId="0" applyFont="1" applyFill="1" applyBorder="1" applyAlignment="1">
      <alignment vertical="center" wrapText="1"/>
    </xf>
    <xf numFmtId="0" fontId="0" fillId="0" borderId="7" xfId="0" applyFill="1" applyBorder="1"/>
    <xf numFmtId="0" fontId="9" fillId="0" borderId="8" xfId="0" applyFont="1" applyFill="1" applyBorder="1" applyAlignment="1">
      <alignment vertical="center" wrapText="1"/>
    </xf>
    <xf numFmtId="0" fontId="0" fillId="0" borderId="2" xfId="0" applyFill="1" applyBorder="1"/>
    <xf numFmtId="0" fontId="0" fillId="0" borderId="0" xfId="0" applyFill="1"/>
    <xf numFmtId="0" fontId="9" fillId="0" borderId="0" xfId="0" applyFont="1" applyFill="1"/>
    <xf numFmtId="0" fontId="9" fillId="0" borderId="0" xfId="0" applyFont="1" applyFill="1" applyAlignment="1">
      <alignment vertical="center" wrapText="1"/>
    </xf>
    <xf numFmtId="0" fontId="12" fillId="0" borderId="0" xfId="0" applyFont="1" applyFill="1" applyAlignment="1">
      <alignment vertical="center" wrapText="1"/>
    </xf>
    <xf numFmtId="0" fontId="0" fillId="0" borderId="9" xfId="0" applyFill="1" applyBorder="1"/>
    <xf numFmtId="0" fontId="12" fillId="0" borderId="4" xfId="0" applyFont="1" applyFill="1" applyBorder="1"/>
    <xf numFmtId="0" fontId="3" fillId="0" borderId="8" xfId="0" applyFont="1" applyFill="1" applyBorder="1"/>
    <xf numFmtId="0" fontId="5" fillId="0" borderId="9" xfId="0" applyFont="1" applyBorder="1"/>
    <xf numFmtId="0" fontId="9" fillId="0" borderId="12" xfId="0" applyFont="1" applyBorder="1" applyAlignment="1">
      <alignment vertical="center" wrapText="1"/>
    </xf>
    <xf numFmtId="0" fontId="9" fillId="0" borderId="12" xfId="0" applyFont="1" applyFill="1" applyBorder="1" applyAlignment="1">
      <alignment vertical="center" wrapText="1"/>
    </xf>
    <xf numFmtId="0" fontId="3" fillId="0" borderId="12" xfId="0" applyFont="1" applyBorder="1"/>
    <xf numFmtId="0" fontId="12" fillId="0" borderId="6" xfId="0" applyFont="1" applyBorder="1"/>
    <xf numFmtId="0" fontId="0" fillId="6" borderId="6" xfId="0" applyFill="1" applyBorder="1"/>
    <xf numFmtId="0" fontId="9" fillId="0" borderId="13" xfId="0" applyFont="1" applyBorder="1" applyAlignment="1">
      <alignment vertical="center" wrapText="1"/>
    </xf>
    <xf numFmtId="0" fontId="9" fillId="0" borderId="13" xfId="0" applyFont="1" applyFill="1" applyBorder="1" applyAlignment="1">
      <alignment vertical="center" wrapText="1"/>
    </xf>
    <xf numFmtId="0" fontId="3" fillId="0" borderId="13" xfId="0" applyFont="1" applyBorder="1"/>
    <xf numFmtId="0" fontId="12" fillId="0" borderId="8" xfId="0" applyFont="1" applyFill="1" applyBorder="1"/>
    <xf numFmtId="0" fontId="13" fillId="0" borderId="0" xfId="0" applyFont="1" applyAlignment="1">
      <alignment horizontal="center" vertical="center" wrapText="1"/>
    </xf>
  </cellXfs>
  <cellStyles count="1">
    <cellStyle name="Normal" xfId="0" builtinId="0"/>
  </cellStyles>
  <dxfs count="3">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tableStyle name="burdonchart-style" pivot="0" count="3" xr9:uid="{00000000-0011-0000-FFFF-FFFF00000000}">
      <tableStyleElement type="headerRow" dxfId="2"/>
      <tableStyleElement type="firstRowStripe" dxfId="1"/>
      <tableStyleElement type="secondRowStripe" dxfId="0"/>
    </tableStyle>
  </tableStyles>
  <colors>
    <mruColors>
      <color rgb="FF6FAB65"/>
      <color rgb="FF0B4F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autoTitleDeleted val="1"/>
    <c:plotArea>
      <c:layout>
        <c:manualLayout>
          <c:xMode val="edge"/>
          <c:yMode val="edge"/>
          <c:x val="0.13054470691163605"/>
          <c:y val="5.7502246181491468E-2"/>
          <c:w val="0.869455293088364"/>
          <c:h val="0.78993880481920897"/>
        </c:manualLayout>
      </c:layout>
      <c:lineChart>
        <c:grouping val="standard"/>
        <c:varyColors val="1"/>
        <c:ser>
          <c:idx val="0"/>
          <c:order val="0"/>
          <c:spPr>
            <a:ln w="28575" cmpd="sng">
              <a:solidFill>
                <a:schemeClr val="accent1"/>
              </a:solidFill>
            </a:ln>
          </c:spPr>
          <c:marker>
            <c:symbol val="none"/>
          </c:marker>
          <c:val>
            <c:numRef>
              <c:f>burdonchart!$B$49:$U$49</c:f>
              <c:numCache>
                <c:formatCode>General</c:formatCode>
                <c:ptCount val="20"/>
                <c:pt idx="0">
                  <c:v>0</c:v>
                </c:pt>
                <c:pt idx="1">
                  <c:v>87</c:v>
                </c:pt>
                <c:pt idx="2">
                  <c:v>84</c:v>
                </c:pt>
                <c:pt idx="3">
                  <c:v>78</c:v>
                </c:pt>
                <c:pt idx="4">
                  <c:v>72</c:v>
                </c:pt>
                <c:pt idx="5">
                  <c:v>65</c:v>
                </c:pt>
                <c:pt idx="6">
                  <c:v>55</c:v>
                </c:pt>
                <c:pt idx="7">
                  <c:v>50</c:v>
                </c:pt>
                <c:pt idx="8">
                  <c:v>46</c:v>
                </c:pt>
                <c:pt idx="9">
                  <c:v>40</c:v>
                </c:pt>
                <c:pt idx="10">
                  <c:v>37</c:v>
                </c:pt>
                <c:pt idx="11">
                  <c:v>33</c:v>
                </c:pt>
                <c:pt idx="12">
                  <c:v>30</c:v>
                </c:pt>
                <c:pt idx="13">
                  <c:v>29</c:v>
                </c:pt>
                <c:pt idx="14">
                  <c:v>25</c:v>
                </c:pt>
                <c:pt idx="15">
                  <c:v>20</c:v>
                </c:pt>
                <c:pt idx="16">
                  <c:v>15</c:v>
                </c:pt>
                <c:pt idx="17">
                  <c:v>10</c:v>
                </c:pt>
                <c:pt idx="18">
                  <c:v>2</c:v>
                </c:pt>
                <c:pt idx="19">
                  <c:v>-1</c:v>
                </c:pt>
              </c:numCache>
            </c:numRef>
          </c:val>
          <c:smooth val="0"/>
          <c:extLst>
            <c:ext xmlns:c16="http://schemas.microsoft.com/office/drawing/2014/chart" uri="{C3380CC4-5D6E-409C-BE32-E72D297353CC}">
              <c16:uniqueId val="{00000000-1462-431B-AAF3-0E0A82C758EF}"/>
            </c:ext>
          </c:extLst>
        </c:ser>
        <c:ser>
          <c:idx val="1"/>
          <c:order val="1"/>
          <c:spPr>
            <a:ln w="28575" cmpd="sng">
              <a:solidFill>
                <a:schemeClr val="accent2"/>
              </a:solidFill>
            </a:ln>
          </c:spPr>
          <c:marker>
            <c:symbol val="none"/>
          </c:marker>
          <c:val>
            <c:numRef>
              <c:f>burdonchart!$B$50:$U$50</c:f>
              <c:numCache>
                <c:formatCode>General</c:formatCode>
                <c:ptCount val="20"/>
                <c:pt idx="0">
                  <c:v>0</c:v>
                </c:pt>
                <c:pt idx="1">
                  <c:v>87</c:v>
                </c:pt>
                <c:pt idx="2">
                  <c:v>82.166666666666671</c:v>
                </c:pt>
                <c:pt idx="3">
                  <c:v>77.333333333333343</c:v>
                </c:pt>
                <c:pt idx="4">
                  <c:v>72.500000000000014</c:v>
                </c:pt>
                <c:pt idx="5">
                  <c:v>67.666666666666686</c:v>
                </c:pt>
                <c:pt idx="6">
                  <c:v>62.83333333333335</c:v>
                </c:pt>
                <c:pt idx="7">
                  <c:v>58.000000000000014</c:v>
                </c:pt>
                <c:pt idx="8">
                  <c:v>53.166666666666679</c:v>
                </c:pt>
                <c:pt idx="9">
                  <c:v>48.333333333333343</c:v>
                </c:pt>
                <c:pt idx="10">
                  <c:v>43.500000000000007</c:v>
                </c:pt>
                <c:pt idx="11">
                  <c:v>38.666666666666671</c:v>
                </c:pt>
                <c:pt idx="12">
                  <c:v>33.833333333333336</c:v>
                </c:pt>
                <c:pt idx="13">
                  <c:v>33.833333333333336</c:v>
                </c:pt>
                <c:pt idx="14">
                  <c:v>29.000000000000004</c:v>
                </c:pt>
                <c:pt idx="15">
                  <c:v>24.166666666666671</c:v>
                </c:pt>
                <c:pt idx="16">
                  <c:v>19.333333333333339</c:v>
                </c:pt>
                <c:pt idx="17">
                  <c:v>14.500000000000007</c:v>
                </c:pt>
                <c:pt idx="18">
                  <c:v>9.666666666666675</c:v>
                </c:pt>
                <c:pt idx="19">
                  <c:v>4.8333333333333419</c:v>
                </c:pt>
              </c:numCache>
            </c:numRef>
          </c:val>
          <c:smooth val="0"/>
          <c:extLst>
            <c:ext xmlns:c16="http://schemas.microsoft.com/office/drawing/2014/chart" uri="{C3380CC4-5D6E-409C-BE32-E72D297353CC}">
              <c16:uniqueId val="{00000001-1462-431B-AAF3-0E0A82C758EF}"/>
            </c:ext>
          </c:extLst>
        </c:ser>
        <c:dLbls>
          <c:showLegendKey val="0"/>
          <c:showVal val="0"/>
          <c:showCatName val="0"/>
          <c:showSerName val="0"/>
          <c:showPercent val="0"/>
          <c:showBubbleSize val="0"/>
        </c:dLbls>
        <c:smooth val="0"/>
        <c:axId val="358306622"/>
        <c:axId val="802544006"/>
      </c:lineChart>
      <c:catAx>
        <c:axId val="358306622"/>
        <c:scaling>
          <c:orientation val="minMax"/>
        </c:scaling>
        <c:delete val="0"/>
        <c:axPos val="b"/>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txPr>
          <a:bodyPr/>
          <a:lstStyle/>
          <a:p>
            <a:pPr lvl="0">
              <a:defRPr sz="900" b="0" i="0">
                <a:solidFill>
                  <a:srgbClr val="000000"/>
                </a:solidFill>
                <a:latin typeface="+mn-lt"/>
              </a:defRPr>
            </a:pPr>
            <a:endParaRPr lang="es-EC"/>
          </a:p>
        </c:txPr>
        <c:crossAx val="802544006"/>
        <c:crosses val="autoZero"/>
        <c:auto val="1"/>
        <c:lblAlgn val="ctr"/>
        <c:lblOffset val="100"/>
        <c:noMultiLvlLbl val="1"/>
      </c:catAx>
      <c:valAx>
        <c:axId val="802544006"/>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s-EC"/>
              </a:p>
            </c:rich>
          </c:tx>
          <c:overlay val="0"/>
        </c:title>
        <c:numFmt formatCode="General" sourceLinked="1"/>
        <c:majorTickMark val="none"/>
        <c:minorTickMark val="none"/>
        <c:tickLblPos val="nextTo"/>
        <c:spPr>
          <a:ln/>
        </c:spPr>
        <c:txPr>
          <a:bodyPr/>
          <a:lstStyle/>
          <a:p>
            <a:pPr lvl="0">
              <a:defRPr sz="900" b="0" i="0">
                <a:solidFill>
                  <a:srgbClr val="000000"/>
                </a:solidFill>
                <a:latin typeface="+mn-lt"/>
              </a:defRPr>
            </a:pPr>
            <a:endParaRPr lang="es-EC"/>
          </a:p>
        </c:txPr>
        <c:crossAx val="358306622"/>
        <c:crosses val="autoZero"/>
        <c:crossBetween val="between"/>
      </c:valAx>
    </c:plotArea>
    <c:legend>
      <c:legendPos val="b"/>
      <c:overlay val="0"/>
      <c:txPr>
        <a:bodyPr/>
        <a:lstStyle/>
        <a:p>
          <a:pPr lvl="0">
            <a:defRPr sz="900" b="0" i="0">
              <a:solidFill>
                <a:srgbClr val="1A1A1A"/>
              </a:solidFill>
              <a:latin typeface="+mn-lt"/>
            </a:defRPr>
          </a:pPr>
          <a:endParaRPr lang="es-EC"/>
        </a:p>
      </c:txPr>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22</xdr:col>
      <xdr:colOff>497389</xdr:colOff>
      <xdr:row>1</xdr:row>
      <xdr:rowOff>65746</xdr:rowOff>
    </xdr:from>
    <xdr:ext cx="7438562" cy="4524840"/>
    <xdr:graphicFrame macro="">
      <xdr:nvGraphicFramePr>
        <xdr:cNvPr id="362873004" name="Chart 1" title="Gráfico">
          <a:extLst>
            <a:ext uri="{FF2B5EF4-FFF2-40B4-BE49-F238E27FC236}">
              <a16:creationId xmlns:a16="http://schemas.microsoft.com/office/drawing/2014/main" id="{00000000-0008-0000-0200-0000AC00A1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83"/>
  <sheetViews>
    <sheetView topLeftCell="D1" workbookViewId="0">
      <selection activeCell="B6" sqref="B6:H6"/>
    </sheetView>
  </sheetViews>
  <sheetFormatPr baseColWidth="10" defaultColWidth="12.5546875" defaultRowHeight="15" customHeight="1"/>
  <cols>
    <col min="1" max="1" width="12.44140625" style="5" customWidth="1"/>
    <col min="2" max="2" width="30.33203125" style="5" customWidth="1"/>
    <col min="3" max="3" width="36" style="5" customWidth="1"/>
    <col min="4" max="4" width="41.44140625" style="5" customWidth="1"/>
    <col min="5" max="5" width="54.44140625" style="5" customWidth="1"/>
    <col min="6" max="6" width="38.44140625" style="5" customWidth="1"/>
    <col min="7" max="26" width="12.44140625" style="5" customWidth="1"/>
    <col min="27" max="16384" width="12.5546875" style="5"/>
  </cols>
  <sheetData>
    <row r="1" spans="1:26" ht="15.75" customHeight="1">
      <c r="A1" s="16" t="s">
        <v>0</v>
      </c>
      <c r="B1" s="16" t="s">
        <v>1</v>
      </c>
      <c r="C1" s="16" t="s">
        <v>2</v>
      </c>
      <c r="D1" s="16" t="s">
        <v>3</v>
      </c>
      <c r="E1" s="16" t="s">
        <v>4</v>
      </c>
      <c r="F1" s="16" t="s">
        <v>5</v>
      </c>
      <c r="G1" s="16" t="s">
        <v>6</v>
      </c>
      <c r="H1" s="16" t="s">
        <v>7</v>
      </c>
      <c r="I1" s="17"/>
      <c r="J1" s="18"/>
      <c r="K1" s="18"/>
      <c r="L1" s="18"/>
      <c r="M1" s="18"/>
      <c r="N1" s="18"/>
      <c r="O1" s="18"/>
      <c r="P1" s="18"/>
      <c r="Q1" s="18"/>
      <c r="R1" s="18"/>
      <c r="S1" s="18"/>
      <c r="T1" s="18"/>
      <c r="U1" s="18"/>
      <c r="V1" s="18"/>
      <c r="W1" s="18"/>
      <c r="X1" s="18"/>
      <c r="Y1" s="18"/>
      <c r="Z1" s="18"/>
    </row>
    <row r="2" spans="1:26" ht="26.4">
      <c r="A2" s="19" t="s">
        <v>8</v>
      </c>
      <c r="B2" s="11" t="s">
        <v>9</v>
      </c>
      <c r="C2" s="11" t="s">
        <v>22</v>
      </c>
      <c r="D2" s="11" t="s">
        <v>10</v>
      </c>
      <c r="E2" s="11" t="s">
        <v>11</v>
      </c>
      <c r="F2" s="11" t="s">
        <v>12</v>
      </c>
      <c r="G2" s="11" t="s">
        <v>13</v>
      </c>
      <c r="H2" s="11" t="s">
        <v>102</v>
      </c>
      <c r="I2" s="8"/>
      <c r="J2" s="10"/>
      <c r="K2" s="10"/>
      <c r="L2" s="10"/>
      <c r="M2" s="10"/>
      <c r="N2" s="10"/>
      <c r="O2" s="10"/>
      <c r="P2" s="10"/>
      <c r="Q2" s="10"/>
      <c r="R2" s="10"/>
      <c r="S2" s="10"/>
      <c r="T2" s="10"/>
      <c r="U2" s="10"/>
      <c r="V2" s="10"/>
      <c r="W2" s="10"/>
      <c r="X2" s="10"/>
      <c r="Y2" s="10"/>
      <c r="Z2" s="10"/>
    </row>
    <row r="3" spans="1:26" ht="26.4">
      <c r="A3" s="19" t="s">
        <v>15</v>
      </c>
      <c r="B3" s="11" t="s">
        <v>16</v>
      </c>
      <c r="C3" s="11" t="s">
        <v>22</v>
      </c>
      <c r="D3" s="11" t="s">
        <v>17</v>
      </c>
      <c r="E3" s="11" t="s">
        <v>18</v>
      </c>
      <c r="F3" s="11" t="s">
        <v>19</v>
      </c>
      <c r="G3" s="11" t="s">
        <v>13</v>
      </c>
      <c r="H3" s="11" t="s">
        <v>102</v>
      </c>
      <c r="I3" s="8"/>
      <c r="J3" s="10"/>
      <c r="K3" s="10"/>
      <c r="L3" s="10"/>
      <c r="M3" s="10"/>
      <c r="N3" s="10"/>
      <c r="O3" s="10"/>
      <c r="P3" s="10"/>
      <c r="Q3" s="10"/>
      <c r="R3" s="10"/>
      <c r="S3" s="10"/>
      <c r="T3" s="10"/>
      <c r="U3" s="10"/>
      <c r="V3" s="10"/>
      <c r="W3" s="10"/>
      <c r="X3" s="10"/>
      <c r="Y3" s="10"/>
      <c r="Z3" s="10"/>
    </row>
    <row r="4" spans="1:26" ht="26.4">
      <c r="A4" s="19" t="s">
        <v>20</v>
      </c>
      <c r="B4" s="11" t="s">
        <v>21</v>
      </c>
      <c r="C4" s="11" t="s">
        <v>22</v>
      </c>
      <c r="D4" s="11" t="s">
        <v>23</v>
      </c>
      <c r="E4" s="11" t="s">
        <v>24</v>
      </c>
      <c r="F4" s="11" t="s">
        <v>25</v>
      </c>
      <c r="G4" s="11" t="s">
        <v>13</v>
      </c>
      <c r="H4" s="11" t="s">
        <v>102</v>
      </c>
      <c r="I4" s="6"/>
    </row>
    <row r="5" spans="1:26" ht="26.4">
      <c r="A5" s="19" t="s">
        <v>26</v>
      </c>
      <c r="B5" s="11" t="s">
        <v>27</v>
      </c>
      <c r="C5" s="11" t="s">
        <v>22</v>
      </c>
      <c r="D5" s="11" t="s">
        <v>28</v>
      </c>
      <c r="E5" s="11" t="s">
        <v>29</v>
      </c>
      <c r="F5" s="11" t="s">
        <v>30</v>
      </c>
      <c r="G5" s="11" t="s">
        <v>13</v>
      </c>
      <c r="H5" s="11" t="s">
        <v>102</v>
      </c>
      <c r="I5" s="6"/>
    </row>
    <row r="6" spans="1:26" ht="13.2">
      <c r="A6" s="19" t="s">
        <v>31</v>
      </c>
      <c r="B6" s="11" t="s">
        <v>32</v>
      </c>
      <c r="C6" s="11" t="s">
        <v>22</v>
      </c>
      <c r="D6" s="11" t="s">
        <v>33</v>
      </c>
      <c r="E6" s="11" t="s">
        <v>34</v>
      </c>
      <c r="F6" s="11" t="s">
        <v>35</v>
      </c>
      <c r="G6" s="11" t="s">
        <v>13</v>
      </c>
      <c r="H6" s="11" t="s">
        <v>14</v>
      </c>
      <c r="I6" s="6"/>
    </row>
    <row r="7" spans="1:26" ht="13.2">
      <c r="A7" s="19" t="s">
        <v>36</v>
      </c>
      <c r="B7" s="11" t="s">
        <v>37</v>
      </c>
      <c r="C7" s="11" t="s">
        <v>22</v>
      </c>
      <c r="D7" s="11" t="s">
        <v>38</v>
      </c>
      <c r="E7" s="11" t="s">
        <v>39</v>
      </c>
      <c r="F7" s="11" t="s">
        <v>40</v>
      </c>
      <c r="G7" s="11" t="s">
        <v>41</v>
      </c>
      <c r="H7" s="11" t="s">
        <v>14</v>
      </c>
      <c r="I7" s="6"/>
    </row>
    <row r="8" spans="1:26" ht="15.75" customHeight="1">
      <c r="A8" s="19" t="s">
        <v>42</v>
      </c>
      <c r="B8" s="11" t="s">
        <v>43</v>
      </c>
      <c r="C8" s="11" t="s">
        <v>22</v>
      </c>
      <c r="D8" s="11" t="s">
        <v>44</v>
      </c>
      <c r="E8" s="11" t="s">
        <v>45</v>
      </c>
      <c r="F8" s="11" t="s">
        <v>46</v>
      </c>
      <c r="G8" s="11" t="s">
        <v>41</v>
      </c>
      <c r="H8" s="11" t="s">
        <v>14</v>
      </c>
      <c r="I8" s="6"/>
    </row>
    <row r="9" spans="1:26" ht="15.75" customHeight="1">
      <c r="A9" s="19" t="s">
        <v>47</v>
      </c>
      <c r="B9" s="11" t="s">
        <v>48</v>
      </c>
      <c r="C9" s="11" t="s">
        <v>22</v>
      </c>
      <c r="D9" s="11" t="s">
        <v>49</v>
      </c>
      <c r="E9" s="11" t="s">
        <v>50</v>
      </c>
      <c r="F9" s="11" t="s">
        <v>51</v>
      </c>
      <c r="G9" s="11" t="s">
        <v>13</v>
      </c>
      <c r="H9" s="11" t="s">
        <v>14</v>
      </c>
      <c r="I9" s="6"/>
    </row>
    <row r="10" spans="1:26" ht="15.75" customHeight="1">
      <c r="A10" s="19" t="s">
        <v>52</v>
      </c>
      <c r="B10" s="11" t="s">
        <v>53</v>
      </c>
      <c r="C10" s="11" t="s">
        <v>54</v>
      </c>
      <c r="D10" s="11" t="s">
        <v>55</v>
      </c>
      <c r="E10" s="11" t="s">
        <v>56</v>
      </c>
      <c r="F10" s="11" t="s">
        <v>57</v>
      </c>
      <c r="G10" s="11" t="s">
        <v>13</v>
      </c>
      <c r="H10" s="11" t="s">
        <v>14</v>
      </c>
      <c r="I10" s="6"/>
    </row>
    <row r="11" spans="1:26" ht="15.75" customHeight="1">
      <c r="A11" s="19" t="s">
        <v>58</v>
      </c>
      <c r="B11" s="11" t="s">
        <v>59</v>
      </c>
      <c r="C11" s="11" t="s">
        <v>22</v>
      </c>
      <c r="D11" s="11" t="s">
        <v>60</v>
      </c>
      <c r="E11" s="11" t="s">
        <v>61</v>
      </c>
      <c r="F11" s="11" t="s">
        <v>62</v>
      </c>
      <c r="G11" s="11" t="s">
        <v>13</v>
      </c>
      <c r="H11" s="11" t="s">
        <v>14</v>
      </c>
      <c r="I11" s="6"/>
    </row>
    <row r="12" spans="1:26" ht="15.75" customHeight="1">
      <c r="A12" s="19" t="s">
        <v>63</v>
      </c>
      <c r="B12" s="11" t="s">
        <v>64</v>
      </c>
      <c r="C12" s="11" t="s">
        <v>22</v>
      </c>
      <c r="D12" s="11" t="s">
        <v>65</v>
      </c>
      <c r="E12" s="11" t="s">
        <v>66</v>
      </c>
      <c r="F12" s="11" t="s">
        <v>67</v>
      </c>
      <c r="G12" s="11" t="s">
        <v>41</v>
      </c>
      <c r="H12" s="11" t="s">
        <v>14</v>
      </c>
      <c r="I12" s="6"/>
    </row>
    <row r="13" spans="1:26" ht="15.75" customHeight="1">
      <c r="A13" s="19" t="s">
        <v>68</v>
      </c>
      <c r="B13" s="11" t="s">
        <v>69</v>
      </c>
      <c r="C13" s="11" t="s">
        <v>22</v>
      </c>
      <c r="D13" s="11" t="s">
        <v>70</v>
      </c>
      <c r="E13" s="11" t="s">
        <v>71</v>
      </c>
      <c r="F13" s="11" t="s">
        <v>72</v>
      </c>
      <c r="G13" s="11" t="s">
        <v>13</v>
      </c>
      <c r="H13" s="11" t="s">
        <v>14</v>
      </c>
      <c r="I13" s="6"/>
    </row>
    <row r="14" spans="1:26" ht="15.75" customHeight="1">
      <c r="A14" s="19" t="s">
        <v>73</v>
      </c>
      <c r="B14" s="11" t="s">
        <v>74</v>
      </c>
      <c r="C14" s="11" t="s">
        <v>22</v>
      </c>
      <c r="D14" s="11" t="s">
        <v>75</v>
      </c>
      <c r="E14" s="11" t="s">
        <v>76</v>
      </c>
      <c r="F14" s="11" t="s">
        <v>77</v>
      </c>
      <c r="G14" s="11" t="s">
        <v>41</v>
      </c>
      <c r="H14" s="11" t="s">
        <v>14</v>
      </c>
      <c r="I14" s="6"/>
    </row>
    <row r="15" spans="1:26" ht="15.75" customHeight="1">
      <c r="A15" s="19" t="s">
        <v>78</v>
      </c>
      <c r="B15" s="11" t="s">
        <v>79</v>
      </c>
      <c r="C15" s="11" t="s">
        <v>22</v>
      </c>
      <c r="D15" s="11" t="s">
        <v>80</v>
      </c>
      <c r="E15" s="11" t="s">
        <v>81</v>
      </c>
      <c r="F15" s="11" t="s">
        <v>82</v>
      </c>
      <c r="G15" s="11" t="s">
        <v>13</v>
      </c>
      <c r="H15" s="11" t="s">
        <v>14</v>
      </c>
      <c r="I15" s="6"/>
    </row>
    <row r="16" spans="1:26" ht="15.75" customHeight="1">
      <c r="A16" s="19" t="s">
        <v>83</v>
      </c>
      <c r="B16" s="2" t="s">
        <v>84</v>
      </c>
      <c r="C16" s="2" t="s">
        <v>22</v>
      </c>
      <c r="D16" s="2" t="s">
        <v>85</v>
      </c>
      <c r="E16" s="2" t="s">
        <v>86</v>
      </c>
      <c r="F16" s="2" t="s">
        <v>87</v>
      </c>
      <c r="G16" s="2" t="s">
        <v>41</v>
      </c>
      <c r="H16" s="2" t="s">
        <v>14</v>
      </c>
      <c r="I16" s="6"/>
    </row>
    <row r="17" spans="1:9" ht="15.75" customHeight="1">
      <c r="A17" s="19" t="s">
        <v>88</v>
      </c>
      <c r="B17" s="11" t="s">
        <v>89</v>
      </c>
      <c r="C17" s="25" t="s">
        <v>107</v>
      </c>
      <c r="D17" s="11" t="s">
        <v>90</v>
      </c>
      <c r="E17" s="11" t="s">
        <v>91</v>
      </c>
      <c r="F17" s="11" t="s">
        <v>92</v>
      </c>
      <c r="G17" s="11" t="s">
        <v>41</v>
      </c>
      <c r="H17" s="11" t="s">
        <v>14</v>
      </c>
      <c r="I17" s="6"/>
    </row>
    <row r="18" spans="1:9" ht="15.75" customHeight="1">
      <c r="A18" s="19" t="s">
        <v>93</v>
      </c>
      <c r="B18" s="11" t="s">
        <v>94</v>
      </c>
      <c r="C18" s="11" t="s">
        <v>22</v>
      </c>
      <c r="D18" s="11" t="s">
        <v>95</v>
      </c>
      <c r="E18" s="11" t="s">
        <v>96</v>
      </c>
      <c r="F18" s="11" t="s">
        <v>97</v>
      </c>
      <c r="G18" s="11" t="s">
        <v>41</v>
      </c>
      <c r="H18" s="11" t="s">
        <v>14</v>
      </c>
      <c r="I18" s="6"/>
    </row>
    <row r="19" spans="1:9" ht="15.75" customHeight="1">
      <c r="A19" s="6"/>
      <c r="B19" s="6"/>
      <c r="C19" s="6"/>
      <c r="D19" s="6"/>
      <c r="E19" s="6"/>
      <c r="F19" s="6"/>
      <c r="G19" s="6"/>
      <c r="H19" s="6"/>
    </row>
    <row r="20" spans="1:9" ht="15.75" customHeight="1">
      <c r="A20" s="20"/>
      <c r="B20" s="20"/>
      <c r="C20" s="20"/>
      <c r="D20" s="20"/>
      <c r="E20" s="20"/>
      <c r="F20" s="20"/>
      <c r="G20" s="20"/>
      <c r="H20" s="20"/>
    </row>
    <row r="21" spans="1:9" ht="15.75" customHeight="1"/>
    <row r="22" spans="1:9" ht="15.75" customHeight="1">
      <c r="B22" s="4"/>
      <c r="C22" s="4"/>
      <c r="D22" s="4"/>
      <c r="E22" s="4"/>
      <c r="F22" s="4"/>
      <c r="G22" s="4"/>
      <c r="H22" s="4"/>
      <c r="I22" s="4"/>
    </row>
    <row r="23" spans="1:9" ht="15.75" customHeight="1">
      <c r="B23"/>
      <c r="C23"/>
      <c r="D23"/>
      <c r="E23"/>
      <c r="F23"/>
      <c r="G23"/>
      <c r="H23" s="4"/>
      <c r="I23"/>
    </row>
    <row r="24" spans="1:9" ht="15.75" customHeight="1"/>
    <row r="25" spans="1:9" ht="15.75" customHeight="1"/>
    <row r="26" spans="1:9" ht="15.75" customHeight="1"/>
    <row r="27" spans="1:9" ht="15.75" customHeight="1"/>
    <row r="28" spans="1:9" ht="15.75" customHeight="1"/>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983"/>
  <sheetViews>
    <sheetView zoomScale="56" zoomScaleNormal="56" workbookViewId="0">
      <selection activeCell="R24" sqref="R24"/>
    </sheetView>
  </sheetViews>
  <sheetFormatPr baseColWidth="10" defaultColWidth="12.5546875" defaultRowHeight="15" customHeight="1"/>
  <cols>
    <col min="1" max="2" width="12.44140625" style="5" customWidth="1"/>
    <col min="3" max="3" width="35.6640625" style="5" customWidth="1"/>
    <col min="4" max="4" width="20" style="5" customWidth="1"/>
    <col min="5" max="5" width="22.88671875" style="5" customWidth="1"/>
    <col min="6" max="6" width="56.109375" style="5" customWidth="1"/>
    <col min="7" max="7" width="12.44140625" style="5" customWidth="1"/>
    <col min="8" max="8" width="19.33203125" style="5" customWidth="1"/>
    <col min="9" max="27" width="12.44140625" style="5" customWidth="1"/>
    <col min="28" max="16384" width="12.5546875" style="5"/>
  </cols>
  <sheetData>
    <row r="1" spans="1:27" ht="15.75" customHeight="1"/>
    <row r="2" spans="1:27" ht="15.75" customHeight="1">
      <c r="A2" s="6"/>
      <c r="B2" s="7" t="s">
        <v>0</v>
      </c>
      <c r="C2" s="7" t="s">
        <v>1</v>
      </c>
      <c r="D2" s="7" t="s">
        <v>2</v>
      </c>
      <c r="E2" s="7" t="s">
        <v>98</v>
      </c>
      <c r="F2" s="7" t="s">
        <v>4</v>
      </c>
      <c r="G2" s="7" t="s">
        <v>99</v>
      </c>
      <c r="H2" s="7" t="s">
        <v>5</v>
      </c>
      <c r="I2" s="7" t="s">
        <v>6</v>
      </c>
      <c r="J2" s="7" t="s">
        <v>100</v>
      </c>
      <c r="K2" s="7" t="s">
        <v>101</v>
      </c>
      <c r="L2" s="6"/>
      <c r="N2" s="4"/>
      <c r="O2" s="4"/>
      <c r="P2" s="4"/>
      <c r="Q2" s="4"/>
      <c r="R2" s="4"/>
      <c r="S2" s="4"/>
      <c r="T2" s="4"/>
      <c r="U2" s="4"/>
      <c r="V2" s="4"/>
      <c r="W2" s="4"/>
    </row>
    <row r="3" spans="1:27" ht="42.6" customHeight="1">
      <c r="A3" s="6"/>
      <c r="B3" s="32" t="s">
        <v>8</v>
      </c>
      <c r="C3" s="33" t="s">
        <v>9</v>
      </c>
      <c r="D3" s="33" t="s">
        <v>22</v>
      </c>
      <c r="E3" s="33" t="s">
        <v>10</v>
      </c>
      <c r="F3" s="33" t="s">
        <v>11</v>
      </c>
      <c r="G3" s="33"/>
      <c r="H3" s="33" t="s">
        <v>12</v>
      </c>
      <c r="I3" s="33" t="s">
        <v>13</v>
      </c>
      <c r="J3" s="33" t="s">
        <v>160</v>
      </c>
      <c r="K3" s="34">
        <v>8</v>
      </c>
      <c r="L3" s="6"/>
      <c r="N3" s="4"/>
      <c r="O3"/>
      <c r="P3"/>
      <c r="Q3"/>
      <c r="R3"/>
      <c r="S3"/>
      <c r="T3"/>
      <c r="U3"/>
      <c r="V3"/>
      <c r="W3" s="4"/>
    </row>
    <row r="4" spans="1:27" ht="26.25" customHeight="1">
      <c r="A4" s="8"/>
      <c r="B4" s="9" t="s">
        <v>103</v>
      </c>
      <c r="C4" s="22" t="s">
        <v>137</v>
      </c>
      <c r="D4" s="11"/>
      <c r="E4" s="11"/>
      <c r="F4" s="11"/>
      <c r="G4" s="11" t="s">
        <v>115</v>
      </c>
      <c r="H4" s="11"/>
      <c r="I4" s="11" t="s">
        <v>13</v>
      </c>
      <c r="J4" s="11" t="s">
        <v>160</v>
      </c>
      <c r="K4" s="12">
        <v>2</v>
      </c>
      <c r="L4" s="8"/>
      <c r="M4" s="10"/>
      <c r="N4"/>
      <c r="O4"/>
      <c r="P4"/>
      <c r="Q4"/>
      <c r="R4"/>
      <c r="S4"/>
      <c r="T4"/>
      <c r="U4"/>
      <c r="V4"/>
      <c r="W4" s="4"/>
      <c r="X4" s="10"/>
      <c r="Y4" s="10"/>
      <c r="Z4" s="10"/>
      <c r="AA4" s="10"/>
    </row>
    <row r="5" spans="1:27" ht="26.4" customHeight="1">
      <c r="A5" s="8"/>
      <c r="B5" s="9" t="s">
        <v>104</v>
      </c>
      <c r="C5" s="23" t="s">
        <v>138</v>
      </c>
      <c r="D5" s="11"/>
      <c r="E5" s="11"/>
      <c r="F5" s="11"/>
      <c r="G5" s="11" t="s">
        <v>115</v>
      </c>
      <c r="H5" s="11"/>
      <c r="I5" s="11" t="s">
        <v>13</v>
      </c>
      <c r="J5" s="11" t="s">
        <v>160</v>
      </c>
      <c r="K5" s="12">
        <v>2</v>
      </c>
      <c r="L5" s="8"/>
      <c r="M5" s="10"/>
      <c r="N5"/>
      <c r="O5"/>
      <c r="P5"/>
      <c r="Q5"/>
      <c r="R5"/>
      <c r="S5"/>
      <c r="T5"/>
      <c r="U5"/>
      <c r="V5"/>
      <c r="W5" s="4"/>
      <c r="X5" s="10"/>
      <c r="Y5" s="10"/>
      <c r="Z5" s="10"/>
      <c r="AA5" s="10"/>
    </row>
    <row r="6" spans="1:27" ht="25.8" customHeight="1">
      <c r="A6" s="8"/>
      <c r="B6" s="9" t="s">
        <v>105</v>
      </c>
      <c r="C6" s="23" t="s">
        <v>155</v>
      </c>
      <c r="D6" s="11"/>
      <c r="E6" s="11"/>
      <c r="F6" s="11"/>
      <c r="G6" s="11" t="s">
        <v>115</v>
      </c>
      <c r="H6" s="11"/>
      <c r="I6" s="11" t="s">
        <v>13</v>
      </c>
      <c r="J6" s="11" t="s">
        <v>160</v>
      </c>
      <c r="K6" s="12">
        <v>2</v>
      </c>
      <c r="L6" s="8"/>
      <c r="M6" s="10"/>
      <c r="N6"/>
      <c r="O6"/>
      <c r="P6"/>
      <c r="Q6"/>
      <c r="R6"/>
      <c r="S6"/>
      <c r="T6"/>
      <c r="U6"/>
      <c r="V6"/>
      <c r="W6" s="4"/>
      <c r="X6" s="10"/>
      <c r="Y6" s="10"/>
      <c r="Z6" s="10"/>
      <c r="AA6" s="10"/>
    </row>
    <row r="7" spans="1:27" ht="30" customHeight="1">
      <c r="A7" s="8"/>
      <c r="B7" s="9" t="s">
        <v>106</v>
      </c>
      <c r="C7" s="23" t="s">
        <v>139</v>
      </c>
      <c r="D7" s="11"/>
      <c r="E7" s="11"/>
      <c r="F7" s="11"/>
      <c r="G7" s="11" t="s">
        <v>115</v>
      </c>
      <c r="H7" s="11"/>
      <c r="I7" s="11" t="s">
        <v>13</v>
      </c>
      <c r="J7" s="11" t="s">
        <v>160</v>
      </c>
      <c r="K7" s="12">
        <v>2</v>
      </c>
      <c r="L7" s="37" t="s">
        <v>112</v>
      </c>
      <c r="M7" s="10"/>
      <c r="N7"/>
      <c r="O7"/>
      <c r="P7"/>
      <c r="Q7"/>
      <c r="R7"/>
      <c r="S7"/>
      <c r="T7"/>
      <c r="U7"/>
      <c r="V7"/>
      <c r="W7" s="4"/>
      <c r="X7" s="10"/>
      <c r="Y7" s="10"/>
      <c r="Z7" s="10"/>
      <c r="AA7" s="10"/>
    </row>
    <row r="8" spans="1:27" ht="54" customHeight="1">
      <c r="A8" s="8"/>
      <c r="B8" s="32" t="s">
        <v>15</v>
      </c>
      <c r="C8" s="35" t="s">
        <v>16</v>
      </c>
      <c r="D8" s="33" t="s">
        <v>159</v>
      </c>
      <c r="E8" s="33" t="s">
        <v>17</v>
      </c>
      <c r="F8" s="33" t="s">
        <v>18</v>
      </c>
      <c r="G8" s="33"/>
      <c r="H8" s="33" t="s">
        <v>19</v>
      </c>
      <c r="I8" s="33" t="s">
        <v>13</v>
      </c>
      <c r="J8" s="33" t="s">
        <v>160</v>
      </c>
      <c r="K8" s="36">
        <v>8</v>
      </c>
      <c r="L8" s="8"/>
      <c r="M8" s="10"/>
      <c r="N8" s="4"/>
      <c r="O8"/>
      <c r="P8"/>
      <c r="Q8"/>
      <c r="R8"/>
      <c r="S8"/>
      <c r="T8"/>
      <c r="U8"/>
      <c r="V8"/>
      <c r="W8" s="4"/>
      <c r="X8" s="10"/>
      <c r="Y8" s="10"/>
      <c r="Z8" s="10"/>
      <c r="AA8" s="10"/>
    </row>
    <row r="9" spans="1:27" ht="26.4">
      <c r="A9" s="8"/>
      <c r="B9" s="26" t="s">
        <v>108</v>
      </c>
      <c r="C9" s="29" t="s">
        <v>142</v>
      </c>
      <c r="D9" s="14"/>
      <c r="E9" s="11"/>
      <c r="F9" s="11"/>
      <c r="G9" s="11" t="s">
        <v>115</v>
      </c>
      <c r="H9" s="11"/>
      <c r="I9" s="11" t="s">
        <v>13</v>
      </c>
      <c r="J9" s="11" t="s">
        <v>160</v>
      </c>
      <c r="K9" s="12">
        <v>2</v>
      </c>
      <c r="L9" s="8"/>
      <c r="M9" s="24"/>
      <c r="N9"/>
      <c r="O9"/>
      <c r="P9"/>
      <c r="Q9"/>
      <c r="R9"/>
      <c r="S9"/>
      <c r="T9"/>
      <c r="U9"/>
      <c r="V9"/>
      <c r="W9" s="4"/>
      <c r="X9" s="10"/>
      <c r="Y9" s="10"/>
      <c r="Z9" s="10"/>
      <c r="AA9" s="10"/>
    </row>
    <row r="10" spans="1:27" ht="29.4" customHeight="1">
      <c r="A10" s="8"/>
      <c r="B10" s="27" t="s">
        <v>110</v>
      </c>
      <c r="C10" s="29" t="s">
        <v>143</v>
      </c>
      <c r="D10" s="14"/>
      <c r="E10" s="11"/>
      <c r="F10" s="11"/>
      <c r="G10" s="11" t="s">
        <v>115</v>
      </c>
      <c r="H10" s="11"/>
      <c r="I10" s="11" t="s">
        <v>13</v>
      </c>
      <c r="J10" s="11" t="s">
        <v>160</v>
      </c>
      <c r="K10" s="12">
        <v>2</v>
      </c>
      <c r="L10" s="8"/>
      <c r="M10" s="10"/>
      <c r="N10"/>
      <c r="O10"/>
      <c r="P10"/>
      <c r="Q10"/>
      <c r="R10"/>
      <c r="S10"/>
      <c r="T10"/>
      <c r="U10"/>
      <c r="V10"/>
      <c r="W10" s="4"/>
      <c r="X10" s="10"/>
      <c r="Y10" s="10"/>
      <c r="Z10" s="10"/>
      <c r="AA10" s="10"/>
    </row>
    <row r="11" spans="1:27" ht="28.8" customHeight="1">
      <c r="A11" s="8"/>
      <c r="B11" s="27" t="s">
        <v>111</v>
      </c>
      <c r="C11" s="29" t="s">
        <v>144</v>
      </c>
      <c r="D11" s="14"/>
      <c r="E11" s="11"/>
      <c r="F11" s="11"/>
      <c r="G11" s="11" t="s">
        <v>115</v>
      </c>
      <c r="H11" s="11"/>
      <c r="I11" s="11" t="s">
        <v>13</v>
      </c>
      <c r="J11" s="11" t="s">
        <v>160</v>
      </c>
      <c r="K11" s="12">
        <v>2</v>
      </c>
      <c r="L11" s="8"/>
      <c r="M11" s="10"/>
      <c r="N11"/>
      <c r="O11"/>
      <c r="P11"/>
      <c r="Q11"/>
      <c r="R11"/>
      <c r="S11"/>
      <c r="T11"/>
      <c r="U11"/>
      <c r="V11"/>
      <c r="W11" s="4"/>
      <c r="X11" s="10"/>
      <c r="Y11" s="10"/>
      <c r="Z11" s="10"/>
      <c r="AA11" s="10"/>
    </row>
    <row r="12" spans="1:27" ht="40.799999999999997" customHeight="1">
      <c r="A12" s="8" t="s">
        <v>112</v>
      </c>
      <c r="B12" s="27" t="s">
        <v>113</v>
      </c>
      <c r="C12" s="29" t="s">
        <v>141</v>
      </c>
      <c r="D12" s="28"/>
      <c r="E12" s="11"/>
      <c r="F12" s="11"/>
      <c r="G12" s="11" t="s">
        <v>115</v>
      </c>
      <c r="H12" s="11"/>
      <c r="I12" s="11" t="s">
        <v>13</v>
      </c>
      <c r="J12" s="11" t="s">
        <v>160</v>
      </c>
      <c r="K12" s="12">
        <v>2</v>
      </c>
      <c r="L12" s="8"/>
      <c r="M12" s="10"/>
      <c r="N12"/>
      <c r="O12"/>
      <c r="P12"/>
      <c r="Q12"/>
      <c r="R12"/>
      <c r="S12"/>
      <c r="T12"/>
      <c r="U12"/>
      <c r="V12"/>
      <c r="W12" s="4"/>
      <c r="X12" s="10"/>
      <c r="Y12" s="10"/>
      <c r="Z12" s="10"/>
      <c r="AA12" s="10"/>
    </row>
    <row r="13" spans="1:27" ht="42" customHeight="1">
      <c r="A13" s="8"/>
      <c r="B13" s="32" t="s">
        <v>20</v>
      </c>
      <c r="C13" s="33" t="s">
        <v>21</v>
      </c>
      <c r="D13" s="33" t="s">
        <v>22</v>
      </c>
      <c r="E13" s="33" t="s">
        <v>23</v>
      </c>
      <c r="F13" s="33" t="s">
        <v>24</v>
      </c>
      <c r="G13" s="33"/>
      <c r="H13" s="33" t="s">
        <v>25</v>
      </c>
      <c r="I13" s="33" t="s">
        <v>13</v>
      </c>
      <c r="J13" s="33" t="s">
        <v>160</v>
      </c>
      <c r="K13" s="36">
        <v>12</v>
      </c>
      <c r="L13" s="8"/>
      <c r="M13" s="10"/>
      <c r="N13" s="4"/>
      <c r="O13"/>
      <c r="P13"/>
      <c r="Q13"/>
      <c r="R13"/>
      <c r="S13"/>
      <c r="T13"/>
      <c r="U13"/>
      <c r="V13"/>
      <c r="W13" s="4"/>
      <c r="X13" s="10"/>
      <c r="Y13" s="10"/>
      <c r="Z13" s="10"/>
      <c r="AA13" s="10"/>
    </row>
    <row r="14" spans="1:27" ht="29.4" customHeight="1">
      <c r="A14" s="8"/>
      <c r="B14" s="9" t="s">
        <v>114</v>
      </c>
      <c r="C14" s="23" t="s">
        <v>145</v>
      </c>
      <c r="D14" s="13"/>
      <c r="E14" s="14"/>
      <c r="F14" s="11"/>
      <c r="G14" s="11" t="s">
        <v>109</v>
      </c>
      <c r="H14" s="11"/>
      <c r="I14" s="11" t="s">
        <v>13</v>
      </c>
      <c r="J14" s="11" t="s">
        <v>160</v>
      </c>
      <c r="K14" s="12">
        <v>2</v>
      </c>
      <c r="L14" s="8"/>
      <c r="M14" s="10"/>
      <c r="N14"/>
      <c r="O14"/>
      <c r="P14"/>
      <c r="Q14"/>
      <c r="R14"/>
      <c r="S14"/>
      <c r="T14"/>
      <c r="U14"/>
      <c r="V14"/>
      <c r="W14" s="4"/>
      <c r="X14" s="10"/>
      <c r="Y14" s="10"/>
      <c r="Z14" s="10"/>
      <c r="AA14" s="10"/>
    </row>
    <row r="15" spans="1:27" ht="30" customHeight="1">
      <c r="A15" s="6"/>
      <c r="B15" s="9" t="s">
        <v>116</v>
      </c>
      <c r="C15" s="23" t="s">
        <v>146</v>
      </c>
      <c r="D15" s="13"/>
      <c r="E15" s="14"/>
      <c r="F15" s="11"/>
      <c r="G15" s="11" t="s">
        <v>109</v>
      </c>
      <c r="H15" s="11"/>
      <c r="I15" s="11" t="s">
        <v>13</v>
      </c>
      <c r="J15" s="11" t="s">
        <v>160</v>
      </c>
      <c r="K15" s="12">
        <v>2</v>
      </c>
      <c r="L15" s="6"/>
      <c r="N15"/>
      <c r="O15"/>
      <c r="P15"/>
      <c r="Q15"/>
      <c r="R15"/>
      <c r="S15"/>
      <c r="T15"/>
      <c r="U15"/>
      <c r="V15"/>
      <c r="W15" s="4"/>
    </row>
    <row r="16" spans="1:27" ht="28.8" customHeight="1">
      <c r="A16" s="6"/>
      <c r="B16" s="9" t="s">
        <v>117</v>
      </c>
      <c r="C16" s="22" t="s">
        <v>154</v>
      </c>
      <c r="D16" s="13"/>
      <c r="E16" s="14"/>
      <c r="F16" s="11"/>
      <c r="G16" s="11" t="s">
        <v>109</v>
      </c>
      <c r="H16" s="11"/>
      <c r="I16" s="11" t="s">
        <v>13</v>
      </c>
      <c r="J16" s="11" t="s">
        <v>160</v>
      </c>
      <c r="K16" s="12">
        <v>2</v>
      </c>
      <c r="L16" s="6"/>
      <c r="N16"/>
      <c r="O16"/>
      <c r="P16"/>
      <c r="Q16"/>
      <c r="R16"/>
      <c r="S16"/>
      <c r="T16"/>
      <c r="U16"/>
      <c r="V16"/>
      <c r="W16" s="4"/>
    </row>
    <row r="17" spans="1:24" ht="28.8" customHeight="1">
      <c r="A17" s="6"/>
      <c r="B17" s="9" t="s">
        <v>118</v>
      </c>
      <c r="C17" s="23" t="s">
        <v>147</v>
      </c>
      <c r="D17" s="13"/>
      <c r="E17" s="14"/>
      <c r="F17" s="11"/>
      <c r="G17" s="11" t="s">
        <v>109</v>
      </c>
      <c r="H17" s="11"/>
      <c r="I17" s="11" t="s">
        <v>13</v>
      </c>
      <c r="J17" s="11" t="s">
        <v>160</v>
      </c>
      <c r="K17" s="12">
        <v>2</v>
      </c>
      <c r="L17" s="6"/>
      <c r="N17"/>
      <c r="O17"/>
      <c r="P17"/>
      <c r="Q17"/>
      <c r="R17"/>
      <c r="S17"/>
      <c r="T17"/>
      <c r="U17"/>
      <c r="V17"/>
      <c r="W17" s="4"/>
    </row>
    <row r="18" spans="1:24" ht="28.8" customHeight="1">
      <c r="A18" s="6"/>
      <c r="B18" s="9" t="s">
        <v>119</v>
      </c>
      <c r="C18" s="23" t="s">
        <v>148</v>
      </c>
      <c r="D18" s="13"/>
      <c r="E18" s="14"/>
      <c r="F18" s="11"/>
      <c r="G18" s="11" t="s">
        <v>109</v>
      </c>
      <c r="H18" s="11"/>
      <c r="I18" s="11" t="s">
        <v>13</v>
      </c>
      <c r="J18" s="11" t="s">
        <v>160</v>
      </c>
      <c r="K18" s="12">
        <v>2</v>
      </c>
      <c r="L18" s="6"/>
      <c r="N18"/>
      <c r="O18"/>
      <c r="P18"/>
      <c r="Q18"/>
      <c r="R18"/>
      <c r="S18"/>
      <c r="T18"/>
      <c r="U18"/>
      <c r="V18"/>
      <c r="W18" s="4"/>
    </row>
    <row r="19" spans="1:24" ht="28.8" customHeight="1">
      <c r="A19" s="6"/>
      <c r="B19" s="9" t="s">
        <v>120</v>
      </c>
      <c r="C19" s="23" t="s">
        <v>149</v>
      </c>
      <c r="D19" s="13"/>
      <c r="E19" s="14"/>
      <c r="F19" s="11"/>
      <c r="G19" s="11" t="s">
        <v>109</v>
      </c>
      <c r="H19" s="11"/>
      <c r="I19" s="11" t="s">
        <v>13</v>
      </c>
      <c r="J19" s="11" t="s">
        <v>160</v>
      </c>
      <c r="K19" s="12">
        <v>1</v>
      </c>
      <c r="L19" s="6"/>
      <c r="N19"/>
      <c r="O19"/>
      <c r="P19"/>
      <c r="Q19"/>
      <c r="R19"/>
      <c r="S19"/>
      <c r="T19"/>
      <c r="U19"/>
      <c r="V19"/>
      <c r="W19" s="4"/>
    </row>
    <row r="20" spans="1:24" ht="28.8" customHeight="1">
      <c r="A20" s="6"/>
      <c r="B20" s="9" t="s">
        <v>121</v>
      </c>
      <c r="C20" s="23" t="s">
        <v>156</v>
      </c>
      <c r="D20" s="13"/>
      <c r="E20" s="14"/>
      <c r="F20" s="11"/>
      <c r="G20" s="11" t="s">
        <v>109</v>
      </c>
      <c r="H20" s="11"/>
      <c r="I20" s="11" t="s">
        <v>13</v>
      </c>
      <c r="J20" s="11" t="s">
        <v>160</v>
      </c>
      <c r="K20" s="12">
        <v>1</v>
      </c>
      <c r="L20" s="6"/>
      <c r="N20"/>
      <c r="O20"/>
      <c r="P20"/>
      <c r="Q20"/>
      <c r="R20"/>
      <c r="S20"/>
      <c r="T20"/>
      <c r="U20"/>
      <c r="V20"/>
      <c r="W20" s="4"/>
    </row>
    <row r="21" spans="1:24" ht="42" customHeight="1">
      <c r="A21" s="6"/>
      <c r="B21" s="32" t="s">
        <v>26</v>
      </c>
      <c r="C21" s="35" t="s">
        <v>27</v>
      </c>
      <c r="D21" s="33" t="s">
        <v>22</v>
      </c>
      <c r="E21" s="33" t="s">
        <v>28</v>
      </c>
      <c r="F21" s="33" t="s">
        <v>29</v>
      </c>
      <c r="G21" s="33"/>
      <c r="H21" s="33" t="s">
        <v>30</v>
      </c>
      <c r="I21" s="33" t="s">
        <v>13</v>
      </c>
      <c r="J21" s="33" t="s">
        <v>160</v>
      </c>
      <c r="K21" s="36">
        <v>8</v>
      </c>
      <c r="L21" s="6"/>
      <c r="N21" s="4"/>
      <c r="O21"/>
      <c r="P21"/>
      <c r="Q21"/>
      <c r="R21"/>
      <c r="S21"/>
      <c r="T21"/>
      <c r="U21"/>
      <c r="V21"/>
      <c r="W21" s="4"/>
    </row>
    <row r="22" spans="1:24" ht="28.2" customHeight="1">
      <c r="A22" s="6"/>
      <c r="B22" s="27" t="s">
        <v>122</v>
      </c>
      <c r="C22" s="29" t="s">
        <v>150</v>
      </c>
      <c r="D22" s="31"/>
      <c r="E22" s="14"/>
      <c r="F22" s="11"/>
      <c r="G22" s="25" t="s">
        <v>140</v>
      </c>
      <c r="H22" s="11"/>
      <c r="I22" s="11" t="s">
        <v>13</v>
      </c>
      <c r="J22" s="11" t="s">
        <v>160</v>
      </c>
      <c r="K22" s="12">
        <v>2</v>
      </c>
      <c r="L22" s="6"/>
      <c r="N22"/>
      <c r="O22"/>
      <c r="P22"/>
      <c r="Q22"/>
      <c r="R22"/>
      <c r="S22"/>
      <c r="T22"/>
      <c r="U22"/>
      <c r="V22"/>
      <c r="W22" s="4"/>
    </row>
    <row r="23" spans="1:24" ht="29.4" customHeight="1">
      <c r="A23" s="6"/>
      <c r="B23" s="27" t="s">
        <v>123</v>
      </c>
      <c r="C23" s="29" t="s">
        <v>151</v>
      </c>
      <c r="D23" s="31"/>
      <c r="E23" s="14"/>
      <c r="F23" s="11"/>
      <c r="G23" s="25" t="s">
        <v>140</v>
      </c>
      <c r="H23" s="11"/>
      <c r="I23" s="11" t="s">
        <v>13</v>
      </c>
      <c r="J23" s="11" t="s">
        <v>160</v>
      </c>
      <c r="K23" s="12">
        <v>2</v>
      </c>
      <c r="L23" s="6"/>
      <c r="N23"/>
      <c r="O23"/>
      <c r="P23"/>
      <c r="Q23"/>
      <c r="R23"/>
      <c r="S23"/>
      <c r="T23"/>
      <c r="U23"/>
      <c r="V23"/>
      <c r="W23" s="4"/>
    </row>
    <row r="24" spans="1:24" ht="27" customHeight="1">
      <c r="A24" s="6"/>
      <c r="B24" s="27" t="s">
        <v>124</v>
      </c>
      <c r="C24" s="29" t="s">
        <v>153</v>
      </c>
      <c r="D24" s="31"/>
      <c r="E24" s="14"/>
      <c r="F24" s="11"/>
      <c r="G24" s="25" t="s">
        <v>140</v>
      </c>
      <c r="H24" s="11"/>
      <c r="I24" s="11" t="s">
        <v>13</v>
      </c>
      <c r="J24" s="11" t="s">
        <v>160</v>
      </c>
      <c r="K24" s="12">
        <v>2</v>
      </c>
      <c r="L24" s="6"/>
      <c r="N24"/>
      <c r="O24"/>
      <c r="P24"/>
      <c r="Q24"/>
      <c r="R24"/>
      <c r="S24"/>
      <c r="T24"/>
      <c r="U24"/>
      <c r="V24"/>
      <c r="W24" s="4"/>
    </row>
    <row r="25" spans="1:24" ht="26.4" customHeight="1">
      <c r="A25" s="6"/>
      <c r="B25" s="51" t="s">
        <v>125</v>
      </c>
      <c r="C25" s="52" t="s">
        <v>152</v>
      </c>
      <c r="D25" s="53"/>
      <c r="E25" s="28"/>
      <c r="F25" s="54"/>
      <c r="G25" s="48" t="s">
        <v>140</v>
      </c>
      <c r="H25" s="54"/>
      <c r="I25" s="54" t="s">
        <v>13</v>
      </c>
      <c r="J25" s="54" t="s">
        <v>160</v>
      </c>
      <c r="K25" s="55">
        <v>1</v>
      </c>
      <c r="L25" s="6"/>
      <c r="N25"/>
      <c r="O25"/>
      <c r="P25"/>
      <c r="Q25"/>
      <c r="R25"/>
      <c r="S25"/>
      <c r="T25"/>
      <c r="U25"/>
      <c r="V25"/>
      <c r="W25" s="4"/>
    </row>
    <row r="26" spans="1:24" ht="41.4" customHeight="1">
      <c r="A26" s="6"/>
      <c r="B26" s="58" t="s">
        <v>126</v>
      </c>
      <c r="C26" s="29" t="s">
        <v>157</v>
      </c>
      <c r="D26" s="59"/>
      <c r="E26" s="60"/>
      <c r="F26" s="60"/>
      <c r="G26" s="29" t="s">
        <v>140</v>
      </c>
      <c r="H26" s="60"/>
      <c r="I26" s="60" t="s">
        <v>13</v>
      </c>
      <c r="J26" s="60" t="s">
        <v>160</v>
      </c>
      <c r="K26" s="61">
        <v>1</v>
      </c>
      <c r="L26" s="6"/>
      <c r="N26"/>
      <c r="O26"/>
      <c r="P26"/>
      <c r="Q26"/>
      <c r="R26"/>
      <c r="S26"/>
      <c r="T26"/>
      <c r="U26"/>
      <c r="V26"/>
      <c r="W26" s="4"/>
    </row>
    <row r="27" spans="1:24" ht="27" customHeight="1">
      <c r="A27" s="6"/>
      <c r="L27" s="6"/>
      <c r="O27" s="49"/>
      <c r="P27" s="49"/>
      <c r="Q27" s="49"/>
      <c r="R27" s="49"/>
      <c r="S27" s="49"/>
      <c r="T27" s="49"/>
      <c r="U27" s="49"/>
      <c r="V27" s="49"/>
      <c r="W27" s="49"/>
      <c r="X27" s="49"/>
    </row>
    <row r="28" spans="1:24" ht="33.6" customHeight="1">
      <c r="A28" s="6"/>
      <c r="L28" s="6"/>
      <c r="O28" s="50"/>
      <c r="P28" s="50"/>
      <c r="Q28" s="50"/>
      <c r="R28" s="50"/>
      <c r="S28" s="50"/>
      <c r="T28" s="50"/>
      <c r="U28" s="50"/>
      <c r="V28" s="50"/>
      <c r="W28" s="50"/>
      <c r="X28" s="50"/>
    </row>
    <row r="29" spans="1:24" ht="28.8" customHeight="1">
      <c r="A29" s="6"/>
      <c r="L29" s="6"/>
      <c r="O29" s="50"/>
      <c r="P29" s="50"/>
      <c r="Q29" s="50"/>
      <c r="R29" s="50"/>
      <c r="S29" s="50"/>
      <c r="T29" s="50"/>
      <c r="U29" s="50"/>
      <c r="V29" s="50"/>
      <c r="W29" s="50"/>
      <c r="X29" s="50"/>
    </row>
    <row r="30" spans="1:24" ht="30" customHeight="1">
      <c r="A30" s="6"/>
      <c r="L30" s="6"/>
      <c r="O30" s="50"/>
      <c r="P30" s="50"/>
      <c r="Q30" s="50"/>
      <c r="R30" s="50"/>
      <c r="S30" s="50"/>
      <c r="T30" s="50"/>
      <c r="U30" s="50"/>
      <c r="V30" s="50"/>
      <c r="W30" s="50"/>
      <c r="X30" s="50"/>
    </row>
    <row r="31" spans="1:24" ht="34.200000000000003" customHeight="1">
      <c r="A31" s="6"/>
      <c r="L31" s="6"/>
      <c r="O31" s="50"/>
      <c r="P31" s="50"/>
      <c r="Q31" s="50"/>
      <c r="R31" s="50"/>
      <c r="S31" s="50"/>
      <c r="T31" s="50"/>
      <c r="U31" s="50"/>
      <c r="V31" s="50"/>
      <c r="W31" s="50"/>
      <c r="X31" s="50"/>
    </row>
    <row r="32" spans="1:24" ht="33.6" customHeight="1">
      <c r="O32" s="50"/>
      <c r="P32" s="50"/>
      <c r="Q32" s="50"/>
      <c r="R32" s="50"/>
      <c r="S32" s="50"/>
      <c r="T32" s="50"/>
      <c r="U32" s="50"/>
      <c r="V32" s="50"/>
      <c r="W32" s="50"/>
      <c r="X32" s="50"/>
    </row>
    <row r="33" spans="15:24" ht="29.4" customHeight="1">
      <c r="O33" s="50"/>
      <c r="P33" s="50"/>
      <c r="Q33" s="50"/>
      <c r="R33" s="50"/>
      <c r="S33" s="50"/>
      <c r="T33" s="50"/>
      <c r="U33" s="50"/>
      <c r="V33" s="50"/>
      <c r="W33" s="50"/>
      <c r="X33" s="50"/>
    </row>
    <row r="34" spans="15:24" ht="30" customHeight="1">
      <c r="O34" s="50"/>
      <c r="P34" s="50"/>
      <c r="Q34" s="50"/>
      <c r="R34" s="50"/>
      <c r="S34" s="50"/>
      <c r="T34" s="50"/>
      <c r="U34" s="50"/>
      <c r="V34" s="50"/>
      <c r="W34" s="50"/>
      <c r="X34" s="50"/>
    </row>
    <row r="35" spans="15:24" ht="43.8" customHeight="1">
      <c r="O35" s="50"/>
      <c r="P35" s="50"/>
      <c r="Q35" s="50"/>
      <c r="R35" s="50"/>
      <c r="S35" s="50"/>
      <c r="T35" s="50"/>
      <c r="U35" s="50"/>
      <c r="V35" s="50"/>
      <c r="W35" s="50"/>
      <c r="X35" s="50"/>
    </row>
    <row r="36" spans="15:24" ht="35.4" customHeight="1">
      <c r="O36" s="50"/>
      <c r="P36" s="50"/>
      <c r="Q36" s="50"/>
      <c r="R36" s="50"/>
      <c r="S36" s="50"/>
      <c r="T36" s="50"/>
      <c r="U36" s="50"/>
      <c r="V36" s="50"/>
      <c r="W36" s="50"/>
      <c r="X36" s="50"/>
    </row>
    <row r="37" spans="15:24" ht="28.8" customHeight="1">
      <c r="O37" s="50"/>
      <c r="P37" s="50"/>
      <c r="Q37" s="50"/>
      <c r="R37" s="50"/>
      <c r="S37" s="50"/>
      <c r="T37" s="50"/>
      <c r="U37" s="50"/>
      <c r="V37" s="50"/>
      <c r="W37" s="50"/>
      <c r="X37" s="50"/>
    </row>
    <row r="38" spans="15:24" ht="44.4" customHeight="1">
      <c r="O38" s="50"/>
      <c r="P38" s="50"/>
      <c r="Q38" s="50"/>
      <c r="R38" s="50"/>
      <c r="S38" s="50"/>
      <c r="T38" s="50"/>
      <c r="U38" s="50"/>
      <c r="V38" s="50"/>
      <c r="W38" s="50"/>
      <c r="X38" s="50"/>
    </row>
    <row r="39" spans="15:24" ht="28.8" customHeight="1">
      <c r="O39" s="50"/>
      <c r="P39" s="50"/>
      <c r="Q39" s="50"/>
      <c r="R39" s="50"/>
      <c r="S39" s="50"/>
      <c r="T39" s="50"/>
      <c r="U39" s="50"/>
      <c r="V39" s="50"/>
      <c r="W39" s="50"/>
      <c r="X39" s="50"/>
    </row>
    <row r="40" spans="15:24" ht="28.8" customHeight="1">
      <c r="O40" s="50"/>
      <c r="P40" s="50"/>
      <c r="Q40" s="50"/>
      <c r="R40" s="50"/>
      <c r="S40" s="50"/>
      <c r="T40" s="50"/>
      <c r="U40" s="50"/>
      <c r="V40" s="50"/>
      <c r="W40" s="50"/>
      <c r="X40" s="50"/>
    </row>
    <row r="41" spans="15:24" ht="29.4" customHeight="1">
      <c r="O41" s="50"/>
      <c r="P41" s="50"/>
      <c r="Q41" s="50"/>
      <c r="R41" s="50"/>
      <c r="S41" s="50"/>
      <c r="T41" s="50"/>
      <c r="U41" s="50"/>
      <c r="V41" s="50"/>
      <c r="W41" s="50"/>
      <c r="X41" s="50"/>
    </row>
    <row r="42" spans="15:24" ht="15.75" customHeight="1">
      <c r="O42" s="50"/>
      <c r="P42" s="50"/>
      <c r="Q42" s="50"/>
      <c r="R42" s="50"/>
      <c r="S42" s="50"/>
      <c r="T42" s="50"/>
      <c r="U42" s="50"/>
      <c r="V42" s="50"/>
      <c r="W42" s="50"/>
      <c r="X42" s="50"/>
    </row>
    <row r="43" spans="15:24" ht="15.75" customHeight="1"/>
    <row r="44" spans="15:24" ht="15.75" customHeight="1"/>
    <row r="45" spans="15:24" ht="15.75" customHeight="1"/>
    <row r="46" spans="15:24" ht="15.75" customHeight="1"/>
    <row r="47" spans="15:24" ht="15.75" customHeight="1"/>
    <row r="48" spans="15:2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2810-4480-4431-BB2E-EAD02948DDCA}">
  <dimension ref="A1:AA983"/>
  <sheetViews>
    <sheetView topLeftCell="A4" zoomScale="81" zoomScaleNormal="81" workbookViewId="0">
      <selection activeCell="K3" sqref="K3:K17"/>
    </sheetView>
  </sheetViews>
  <sheetFormatPr baseColWidth="10" defaultColWidth="12.5546875" defaultRowHeight="13.2"/>
  <cols>
    <col min="1" max="2" width="12.44140625" style="5" customWidth="1"/>
    <col min="3" max="3" width="35.6640625" style="5" customWidth="1"/>
    <col min="4" max="4" width="20" style="5" customWidth="1"/>
    <col min="5" max="5" width="22.88671875" style="5" customWidth="1"/>
    <col min="6" max="6" width="56.109375" style="5" customWidth="1"/>
    <col min="7" max="7" width="12.44140625" style="5" customWidth="1"/>
    <col min="8" max="8" width="19.33203125" style="5" customWidth="1"/>
    <col min="9" max="27" width="12.44140625" style="5" customWidth="1"/>
    <col min="28" max="16384" width="12.5546875" style="5"/>
  </cols>
  <sheetData>
    <row r="1" spans="1:27" ht="15.75" customHeight="1"/>
    <row r="2" spans="1:27" ht="15.75" customHeight="1">
      <c r="A2" s="6"/>
      <c r="B2" s="7" t="s">
        <v>0</v>
      </c>
      <c r="C2" s="7" t="s">
        <v>1</v>
      </c>
      <c r="D2" s="7" t="s">
        <v>2</v>
      </c>
      <c r="E2" s="7" t="s">
        <v>98</v>
      </c>
      <c r="F2" s="7" t="s">
        <v>4</v>
      </c>
      <c r="G2" s="7" t="s">
        <v>99</v>
      </c>
      <c r="H2" s="7" t="s">
        <v>5</v>
      </c>
      <c r="I2" s="7" t="s">
        <v>6</v>
      </c>
      <c r="J2" s="7" t="s">
        <v>100</v>
      </c>
      <c r="K2" s="7" t="s">
        <v>101</v>
      </c>
      <c r="L2" s="6"/>
      <c r="N2" s="4"/>
      <c r="O2" s="4"/>
      <c r="P2" s="4"/>
      <c r="Q2" s="4"/>
      <c r="R2" s="4"/>
      <c r="S2" s="4"/>
      <c r="T2" s="4"/>
      <c r="U2" s="4"/>
      <c r="V2" s="4"/>
      <c r="W2" s="4"/>
    </row>
    <row r="3" spans="1:27" ht="42.6" customHeight="1">
      <c r="A3" s="6"/>
      <c r="B3" s="57" t="s">
        <v>31</v>
      </c>
      <c r="C3" s="57" t="s">
        <v>32</v>
      </c>
      <c r="D3" s="57" t="s">
        <v>22</v>
      </c>
      <c r="E3" s="57" t="s">
        <v>33</v>
      </c>
      <c r="F3" s="57" t="s">
        <v>34</v>
      </c>
      <c r="G3" s="57"/>
      <c r="H3" s="57" t="s">
        <v>35</v>
      </c>
      <c r="I3" s="57" t="s">
        <v>13</v>
      </c>
      <c r="J3" s="57" t="s">
        <v>136</v>
      </c>
      <c r="K3" s="57">
        <v>5</v>
      </c>
      <c r="L3" s="6"/>
      <c r="N3" s="4"/>
      <c r="O3"/>
      <c r="P3"/>
      <c r="Q3"/>
      <c r="R3"/>
      <c r="S3"/>
      <c r="T3"/>
      <c r="U3"/>
      <c r="V3"/>
      <c r="W3" s="4"/>
    </row>
    <row r="4" spans="1:27" ht="26.25" customHeight="1">
      <c r="A4" s="8"/>
      <c r="B4" s="56" t="s">
        <v>164</v>
      </c>
      <c r="C4" s="56" t="s">
        <v>165</v>
      </c>
      <c r="D4" s="56"/>
      <c r="E4" s="56"/>
      <c r="F4" s="56"/>
      <c r="G4" s="56" t="s">
        <v>115</v>
      </c>
      <c r="H4" s="56"/>
      <c r="I4" s="56" t="s">
        <v>13</v>
      </c>
      <c r="J4" s="47" t="s">
        <v>243</v>
      </c>
      <c r="K4" s="56">
        <v>2</v>
      </c>
      <c r="L4" s="8"/>
      <c r="M4" s="10"/>
      <c r="N4"/>
      <c r="O4"/>
      <c r="P4"/>
      <c r="Q4"/>
      <c r="R4"/>
      <c r="S4"/>
      <c r="T4"/>
      <c r="U4"/>
      <c r="V4"/>
      <c r="W4" s="4"/>
      <c r="X4" s="10"/>
      <c r="Y4" s="10"/>
      <c r="Z4" s="10"/>
      <c r="AA4" s="10"/>
    </row>
    <row r="5" spans="1:27" ht="26.4" customHeight="1">
      <c r="A5" s="8"/>
      <c r="B5" s="56" t="s">
        <v>169</v>
      </c>
      <c r="C5" s="56" t="s">
        <v>170</v>
      </c>
      <c r="D5" s="56"/>
      <c r="E5" s="56"/>
      <c r="F5" s="56"/>
      <c r="G5" s="56" t="s">
        <v>115</v>
      </c>
      <c r="H5" s="56"/>
      <c r="I5" s="56" t="s">
        <v>13</v>
      </c>
      <c r="J5" s="47" t="s">
        <v>243</v>
      </c>
      <c r="K5" s="56">
        <v>2</v>
      </c>
      <c r="L5" s="8"/>
      <c r="M5" s="10"/>
      <c r="N5"/>
      <c r="O5"/>
      <c r="P5"/>
      <c r="Q5"/>
      <c r="R5"/>
      <c r="S5"/>
      <c r="T5"/>
      <c r="U5"/>
      <c r="V5"/>
      <c r="W5" s="4"/>
      <c r="X5" s="10"/>
      <c r="Y5" s="10"/>
      <c r="Z5" s="10"/>
      <c r="AA5" s="10"/>
    </row>
    <row r="6" spans="1:27" ht="25.8" customHeight="1">
      <c r="A6" s="8"/>
      <c r="B6" s="56" t="s">
        <v>174</v>
      </c>
      <c r="C6" s="56" t="s">
        <v>175</v>
      </c>
      <c r="D6" s="56"/>
      <c r="E6" s="56"/>
      <c r="F6" s="56"/>
      <c r="G6" s="56" t="s">
        <v>115</v>
      </c>
      <c r="H6" s="56"/>
      <c r="I6" s="56" t="s">
        <v>13</v>
      </c>
      <c r="J6" s="47" t="s">
        <v>243</v>
      </c>
      <c r="K6" s="56">
        <v>2</v>
      </c>
      <c r="L6" s="8"/>
      <c r="M6" s="10"/>
      <c r="N6"/>
      <c r="O6"/>
      <c r="P6"/>
      <c r="Q6"/>
      <c r="R6"/>
      <c r="S6"/>
      <c r="T6"/>
      <c r="U6"/>
      <c r="V6"/>
      <c r="W6" s="4"/>
      <c r="X6" s="10"/>
      <c r="Y6" s="10"/>
      <c r="Z6" s="10"/>
      <c r="AA6" s="10"/>
    </row>
    <row r="7" spans="1:27" ht="30" customHeight="1">
      <c r="A7" s="8"/>
      <c r="B7" s="56" t="s">
        <v>179</v>
      </c>
      <c r="C7" s="56" t="s">
        <v>180</v>
      </c>
      <c r="D7" s="56"/>
      <c r="E7" s="56"/>
      <c r="F7" s="56"/>
      <c r="G7" s="56" t="s">
        <v>115</v>
      </c>
      <c r="H7" s="56"/>
      <c r="I7" s="56" t="s">
        <v>13</v>
      </c>
      <c r="J7" s="47" t="s">
        <v>243</v>
      </c>
      <c r="K7" s="56">
        <v>1</v>
      </c>
      <c r="L7" s="37" t="s">
        <v>112</v>
      </c>
      <c r="M7" s="10"/>
      <c r="N7"/>
      <c r="O7"/>
      <c r="P7"/>
      <c r="Q7"/>
      <c r="R7"/>
      <c r="S7"/>
      <c r="T7"/>
      <c r="U7"/>
      <c r="V7"/>
      <c r="W7" s="4"/>
      <c r="X7" s="10"/>
      <c r="Y7" s="10"/>
      <c r="Z7" s="10"/>
      <c r="AA7" s="10"/>
    </row>
    <row r="8" spans="1:27" ht="54" customHeight="1">
      <c r="A8" s="8"/>
      <c r="B8" s="57" t="s">
        <v>36</v>
      </c>
      <c r="C8" s="57" t="s">
        <v>37</v>
      </c>
      <c r="D8" s="57" t="s">
        <v>22</v>
      </c>
      <c r="E8" s="57" t="s">
        <v>184</v>
      </c>
      <c r="F8" s="57" t="s">
        <v>185</v>
      </c>
      <c r="G8" s="57"/>
      <c r="H8" s="57"/>
      <c r="I8" s="57" t="s">
        <v>41</v>
      </c>
      <c r="J8" s="57" t="s">
        <v>136</v>
      </c>
      <c r="K8" s="57">
        <v>3</v>
      </c>
      <c r="L8" s="8"/>
      <c r="M8" s="10"/>
      <c r="N8" s="4"/>
      <c r="O8"/>
      <c r="P8"/>
      <c r="Q8"/>
      <c r="R8"/>
      <c r="S8"/>
      <c r="T8"/>
      <c r="U8"/>
      <c r="V8"/>
      <c r="W8" s="4"/>
      <c r="X8" s="10"/>
      <c r="Y8" s="10"/>
      <c r="Z8" s="10"/>
      <c r="AA8" s="10"/>
    </row>
    <row r="9" spans="1:27" ht="26.4">
      <c r="A9" s="8"/>
      <c r="B9" s="56" t="s">
        <v>187</v>
      </c>
      <c r="C9" s="56" t="s">
        <v>188</v>
      </c>
      <c r="D9" s="56"/>
      <c r="E9" s="56"/>
      <c r="F9" s="56"/>
      <c r="G9" s="56" t="s">
        <v>115</v>
      </c>
      <c r="H9" s="56"/>
      <c r="I9" s="56" t="s">
        <v>13</v>
      </c>
      <c r="J9" s="47" t="s">
        <v>243</v>
      </c>
      <c r="K9" s="56">
        <v>1</v>
      </c>
      <c r="L9" s="8"/>
      <c r="M9" s="24"/>
      <c r="N9"/>
      <c r="O9"/>
      <c r="P9"/>
      <c r="Q9"/>
      <c r="R9"/>
      <c r="S9"/>
      <c r="T9"/>
      <c r="U9"/>
      <c r="V9"/>
      <c r="W9" s="4"/>
      <c r="X9" s="10"/>
      <c r="Y9" s="10"/>
      <c r="Z9" s="10"/>
      <c r="AA9" s="10"/>
    </row>
    <row r="10" spans="1:27" ht="29.4" customHeight="1">
      <c r="A10" s="8"/>
      <c r="B10" s="56" t="s">
        <v>192</v>
      </c>
      <c r="C10" s="56" t="s">
        <v>193</v>
      </c>
      <c r="D10" s="56"/>
      <c r="E10" s="56"/>
      <c r="F10" s="56"/>
      <c r="G10" s="56" t="s">
        <v>115</v>
      </c>
      <c r="H10" s="56"/>
      <c r="I10" s="56" t="s">
        <v>13</v>
      </c>
      <c r="J10" s="47" t="s">
        <v>243</v>
      </c>
      <c r="K10" s="56">
        <v>1</v>
      </c>
      <c r="L10" s="8"/>
      <c r="M10" s="10"/>
      <c r="N10"/>
      <c r="O10"/>
      <c r="P10"/>
      <c r="Q10"/>
      <c r="R10"/>
      <c r="S10"/>
      <c r="T10"/>
      <c r="U10"/>
      <c r="V10"/>
      <c r="W10" s="4"/>
      <c r="X10" s="10"/>
      <c r="Y10" s="10"/>
      <c r="Z10" s="10"/>
      <c r="AA10" s="10"/>
    </row>
    <row r="11" spans="1:27" ht="28.8" customHeight="1">
      <c r="A11" s="8"/>
      <c r="B11" s="57" t="s">
        <v>42</v>
      </c>
      <c r="C11" s="57" t="s">
        <v>43</v>
      </c>
      <c r="D11" s="57" t="s">
        <v>22</v>
      </c>
      <c r="E11" s="57" t="s">
        <v>197</v>
      </c>
      <c r="F11" s="57" t="s">
        <v>198</v>
      </c>
      <c r="G11" s="57"/>
      <c r="H11" s="57"/>
      <c r="I11" s="57" t="s">
        <v>41</v>
      </c>
      <c r="J11" s="57" t="s">
        <v>136</v>
      </c>
      <c r="K11" s="57">
        <v>5</v>
      </c>
      <c r="L11" s="8"/>
      <c r="M11" s="10"/>
      <c r="N11"/>
      <c r="O11"/>
      <c r="P11"/>
      <c r="Q11"/>
      <c r="R11"/>
      <c r="S11"/>
      <c r="T11"/>
      <c r="U11"/>
      <c r="V11"/>
      <c r="W11" s="4"/>
      <c r="X11" s="10"/>
      <c r="Y11" s="10"/>
      <c r="Z11" s="10"/>
      <c r="AA11" s="10"/>
    </row>
    <row r="12" spans="1:27" ht="40.799999999999997" customHeight="1">
      <c r="A12" s="8" t="s">
        <v>112</v>
      </c>
      <c r="B12" s="56" t="s">
        <v>200</v>
      </c>
      <c r="C12" s="56" t="s">
        <v>201</v>
      </c>
      <c r="D12" s="56"/>
      <c r="E12" s="56"/>
      <c r="F12" s="56"/>
      <c r="G12" s="56" t="s">
        <v>140</v>
      </c>
      <c r="H12" s="56"/>
      <c r="I12" s="56" t="s">
        <v>13</v>
      </c>
      <c r="J12" s="47" t="s">
        <v>243</v>
      </c>
      <c r="K12" s="56">
        <v>2</v>
      </c>
      <c r="L12" s="8"/>
      <c r="M12" s="10"/>
      <c r="N12"/>
      <c r="O12"/>
      <c r="P12"/>
      <c r="Q12"/>
      <c r="R12"/>
      <c r="S12"/>
      <c r="T12"/>
      <c r="U12"/>
      <c r="V12"/>
      <c r="W12" s="4"/>
      <c r="X12" s="10"/>
      <c r="Y12" s="10"/>
      <c r="Z12" s="10"/>
      <c r="AA12" s="10"/>
    </row>
    <row r="13" spans="1:27" ht="42" customHeight="1">
      <c r="A13" s="8"/>
      <c r="B13" s="56" t="s">
        <v>205</v>
      </c>
      <c r="C13" s="56" t="s">
        <v>206</v>
      </c>
      <c r="D13" s="56"/>
      <c r="E13" s="56"/>
      <c r="F13" s="56"/>
      <c r="G13" s="56" t="s">
        <v>140</v>
      </c>
      <c r="H13" s="56"/>
      <c r="I13" s="56" t="s">
        <v>13</v>
      </c>
      <c r="J13" s="47" t="s">
        <v>243</v>
      </c>
      <c r="K13" s="56">
        <v>2</v>
      </c>
      <c r="L13" s="8"/>
      <c r="M13" s="10"/>
      <c r="N13" s="4"/>
      <c r="O13"/>
      <c r="P13"/>
      <c r="Q13"/>
      <c r="R13"/>
      <c r="S13"/>
      <c r="T13"/>
      <c r="U13"/>
      <c r="V13"/>
      <c r="W13" s="4"/>
      <c r="X13" s="10"/>
      <c r="Y13" s="10"/>
      <c r="Z13" s="10"/>
      <c r="AA13" s="10"/>
    </row>
    <row r="14" spans="1:27" ht="29.4" customHeight="1">
      <c r="A14" s="8"/>
      <c r="B14" s="57" t="s">
        <v>47</v>
      </c>
      <c r="C14" s="57" t="s">
        <v>48</v>
      </c>
      <c r="D14" s="57" t="s">
        <v>22</v>
      </c>
      <c r="E14" s="57" t="s">
        <v>49</v>
      </c>
      <c r="F14" s="57" t="s">
        <v>210</v>
      </c>
      <c r="G14" s="57"/>
      <c r="H14" s="57"/>
      <c r="I14" s="57" t="s">
        <v>13</v>
      </c>
      <c r="J14" s="57" t="s">
        <v>136</v>
      </c>
      <c r="K14" s="57">
        <v>8</v>
      </c>
      <c r="L14" s="8"/>
      <c r="M14" s="10"/>
      <c r="N14"/>
      <c r="O14"/>
      <c r="P14"/>
      <c r="Q14"/>
      <c r="R14"/>
      <c r="S14"/>
      <c r="T14"/>
      <c r="U14"/>
      <c r="V14"/>
      <c r="W14" s="4"/>
      <c r="X14" s="10"/>
      <c r="Y14" s="10"/>
      <c r="Z14" s="10"/>
      <c r="AA14" s="10"/>
    </row>
    <row r="15" spans="1:27" ht="30" customHeight="1">
      <c r="A15" s="6"/>
      <c r="B15" s="56" t="s">
        <v>212</v>
      </c>
      <c r="C15" s="56" t="s">
        <v>213</v>
      </c>
      <c r="D15" s="56"/>
      <c r="E15" s="56"/>
      <c r="F15" s="56"/>
      <c r="G15" s="56" t="s">
        <v>140</v>
      </c>
      <c r="H15" s="56"/>
      <c r="I15" s="56" t="s">
        <v>13</v>
      </c>
      <c r="J15" s="47" t="s">
        <v>243</v>
      </c>
      <c r="K15" s="56">
        <v>3</v>
      </c>
      <c r="L15" s="6"/>
      <c r="N15"/>
      <c r="O15"/>
      <c r="P15"/>
      <c r="Q15"/>
      <c r="R15"/>
      <c r="S15"/>
      <c r="T15"/>
      <c r="U15"/>
      <c r="V15"/>
      <c r="W15" s="4"/>
    </row>
    <row r="16" spans="1:27" ht="28.8" customHeight="1">
      <c r="A16" s="6"/>
      <c r="B16" s="56" t="s">
        <v>217</v>
      </c>
      <c r="C16" s="56" t="s">
        <v>218</v>
      </c>
      <c r="D16" s="56"/>
      <c r="E16" s="56"/>
      <c r="F16" s="56"/>
      <c r="G16" s="56" t="s">
        <v>140</v>
      </c>
      <c r="H16" s="56"/>
      <c r="I16" s="56" t="s">
        <v>13</v>
      </c>
      <c r="J16" s="47" t="s">
        <v>243</v>
      </c>
      <c r="K16" s="56">
        <v>3</v>
      </c>
      <c r="L16" s="6"/>
      <c r="N16"/>
      <c r="O16"/>
      <c r="P16"/>
      <c r="Q16"/>
      <c r="R16"/>
      <c r="S16"/>
      <c r="T16"/>
      <c r="U16"/>
      <c r="V16"/>
      <c r="W16" s="4"/>
    </row>
    <row r="17" spans="1:24" ht="28.8" customHeight="1">
      <c r="A17" s="6"/>
      <c r="B17" s="56" t="s">
        <v>222</v>
      </c>
      <c r="C17" s="56" t="s">
        <v>223</v>
      </c>
      <c r="D17" s="56"/>
      <c r="E17" s="56"/>
      <c r="F17" s="56"/>
      <c r="G17" s="56" t="s">
        <v>140</v>
      </c>
      <c r="H17" s="56"/>
      <c r="I17" s="56" t="s">
        <v>13</v>
      </c>
      <c r="J17" s="47" t="s">
        <v>243</v>
      </c>
      <c r="K17" s="56">
        <v>2</v>
      </c>
      <c r="L17" s="6"/>
      <c r="N17"/>
      <c r="O17"/>
      <c r="P17"/>
      <c r="Q17"/>
      <c r="R17"/>
      <c r="S17"/>
      <c r="T17"/>
      <c r="U17"/>
      <c r="V17"/>
      <c r="W17" s="4"/>
    </row>
    <row r="18" spans="1:24" ht="28.8" customHeight="1">
      <c r="A18" s="6"/>
      <c r="L18" s="6"/>
      <c r="N18"/>
      <c r="O18"/>
      <c r="P18"/>
      <c r="Q18"/>
      <c r="R18"/>
      <c r="S18"/>
      <c r="T18"/>
      <c r="U18"/>
      <c r="V18"/>
      <c r="W18" s="4"/>
    </row>
    <row r="19" spans="1:24" ht="28.8" customHeight="1">
      <c r="A19" s="6"/>
      <c r="L19" s="6"/>
      <c r="N19"/>
      <c r="O19"/>
      <c r="P19"/>
      <c r="Q19"/>
      <c r="R19"/>
      <c r="S19"/>
      <c r="T19"/>
      <c r="U19"/>
      <c r="V19"/>
      <c r="W19" s="4"/>
    </row>
    <row r="20" spans="1:24" ht="28.8" customHeight="1">
      <c r="A20" s="6"/>
      <c r="L20" s="6"/>
      <c r="N20"/>
      <c r="O20"/>
      <c r="P20"/>
      <c r="Q20"/>
      <c r="R20"/>
      <c r="S20"/>
      <c r="T20"/>
      <c r="U20"/>
      <c r="V20"/>
      <c r="W20" s="4"/>
    </row>
    <row r="21" spans="1:24" ht="42" customHeight="1">
      <c r="A21" s="6"/>
      <c r="L21" s="6"/>
      <c r="N21" s="4"/>
      <c r="O21"/>
      <c r="P21"/>
      <c r="Q21"/>
      <c r="R21"/>
      <c r="S21"/>
      <c r="T21"/>
      <c r="U21"/>
      <c r="V21"/>
      <c r="W21" s="4"/>
    </row>
    <row r="22" spans="1:24" ht="28.2" customHeight="1">
      <c r="A22" s="6"/>
      <c r="L22" s="6"/>
      <c r="N22"/>
      <c r="O22"/>
      <c r="P22"/>
      <c r="Q22"/>
      <c r="R22"/>
      <c r="S22"/>
      <c r="T22"/>
      <c r="U22"/>
      <c r="V22"/>
      <c r="W22" s="4"/>
    </row>
    <row r="23" spans="1:24" ht="29.4" customHeight="1">
      <c r="A23" s="6"/>
      <c r="L23" s="6"/>
      <c r="N23"/>
      <c r="O23"/>
      <c r="P23"/>
      <c r="Q23"/>
      <c r="R23"/>
      <c r="S23"/>
      <c r="T23"/>
      <c r="U23"/>
      <c r="V23"/>
      <c r="W23" s="4"/>
    </row>
    <row r="24" spans="1:24" ht="27" customHeight="1">
      <c r="A24" s="6"/>
      <c r="L24" s="6"/>
      <c r="N24"/>
      <c r="O24"/>
      <c r="P24"/>
      <c r="Q24"/>
      <c r="R24"/>
      <c r="S24"/>
      <c r="T24"/>
      <c r="U24"/>
      <c r="V24"/>
      <c r="W24" s="4"/>
    </row>
    <row r="25" spans="1:24" ht="26.4" customHeight="1">
      <c r="A25" s="6"/>
      <c r="L25" s="6"/>
      <c r="N25"/>
      <c r="O25"/>
      <c r="P25"/>
      <c r="Q25"/>
      <c r="R25"/>
      <c r="S25"/>
      <c r="T25"/>
      <c r="U25"/>
      <c r="V25"/>
      <c r="W25" s="4"/>
    </row>
    <row r="26" spans="1:24" ht="41.4" customHeight="1">
      <c r="A26" s="6"/>
      <c r="L26" s="6"/>
      <c r="N26"/>
      <c r="O26"/>
      <c r="P26"/>
      <c r="Q26"/>
      <c r="R26"/>
      <c r="S26"/>
      <c r="T26"/>
      <c r="U26"/>
      <c r="V26"/>
      <c r="W26" s="4"/>
    </row>
    <row r="27" spans="1:24" ht="27" customHeight="1">
      <c r="A27" s="6"/>
      <c r="L27" s="6"/>
      <c r="O27" s="49" t="s">
        <v>0</v>
      </c>
      <c r="P27" s="49" t="s">
        <v>1</v>
      </c>
      <c r="Q27" s="49" t="s">
        <v>161</v>
      </c>
      <c r="R27" s="49" t="s">
        <v>162</v>
      </c>
      <c r="S27" s="49" t="s">
        <v>163</v>
      </c>
      <c r="T27" s="49" t="s">
        <v>99</v>
      </c>
      <c r="U27" s="49" t="s">
        <v>5</v>
      </c>
      <c r="V27" s="49" t="s">
        <v>6</v>
      </c>
      <c r="W27" s="49" t="s">
        <v>100</v>
      </c>
      <c r="X27" s="49" t="s">
        <v>101</v>
      </c>
    </row>
    <row r="28" spans="1:24" ht="33.6" customHeight="1">
      <c r="A28" s="6"/>
      <c r="L28" s="6"/>
      <c r="O28" s="50" t="s">
        <v>31</v>
      </c>
      <c r="P28" s="50" t="s">
        <v>32</v>
      </c>
      <c r="Q28" s="50" t="s">
        <v>22</v>
      </c>
      <c r="R28" s="50" t="s">
        <v>33</v>
      </c>
      <c r="S28" s="50" t="s">
        <v>34</v>
      </c>
      <c r="T28" s="50" t="s">
        <v>115</v>
      </c>
      <c r="U28" s="50" t="s">
        <v>35</v>
      </c>
      <c r="V28" s="50" t="s">
        <v>13</v>
      </c>
      <c r="W28" s="50" t="s">
        <v>136</v>
      </c>
      <c r="X28" s="50">
        <v>5</v>
      </c>
    </row>
    <row r="29" spans="1:24" ht="28.8" customHeight="1">
      <c r="A29" s="6"/>
      <c r="L29" s="6"/>
      <c r="O29" s="50" t="s">
        <v>164</v>
      </c>
      <c r="P29" s="50" t="s">
        <v>165</v>
      </c>
      <c r="Q29" s="50" t="s">
        <v>22</v>
      </c>
      <c r="R29" s="50" t="s">
        <v>166</v>
      </c>
      <c r="S29" s="50" t="s">
        <v>167</v>
      </c>
      <c r="T29" s="50" t="s">
        <v>115</v>
      </c>
      <c r="U29" s="50" t="s">
        <v>168</v>
      </c>
      <c r="V29" s="50" t="s">
        <v>13</v>
      </c>
      <c r="W29" s="50" t="s">
        <v>136</v>
      </c>
      <c r="X29" s="50">
        <v>2</v>
      </c>
    </row>
    <row r="30" spans="1:24" ht="30" customHeight="1">
      <c r="A30" s="6"/>
      <c r="L30" s="6"/>
      <c r="O30" s="50" t="s">
        <v>169</v>
      </c>
      <c r="P30" s="50" t="s">
        <v>170</v>
      </c>
      <c r="Q30" s="50" t="s">
        <v>22</v>
      </c>
      <c r="R30" s="50" t="s">
        <v>171</v>
      </c>
      <c r="S30" s="50" t="s">
        <v>172</v>
      </c>
      <c r="T30" s="50" t="s">
        <v>115</v>
      </c>
      <c r="U30" s="50" t="s">
        <v>173</v>
      </c>
      <c r="V30" s="50" t="s">
        <v>13</v>
      </c>
      <c r="W30" s="50" t="s">
        <v>136</v>
      </c>
      <c r="X30" s="50">
        <v>2</v>
      </c>
    </row>
    <row r="31" spans="1:24" ht="34.200000000000003" customHeight="1">
      <c r="A31" s="6"/>
      <c r="L31" s="6"/>
      <c r="O31" s="50" t="s">
        <v>174</v>
      </c>
      <c r="P31" s="50" t="s">
        <v>175</v>
      </c>
      <c r="Q31" s="50" t="s">
        <v>22</v>
      </c>
      <c r="R31" s="50" t="s">
        <v>176</v>
      </c>
      <c r="S31" s="50" t="s">
        <v>177</v>
      </c>
      <c r="T31" s="50" t="s">
        <v>115</v>
      </c>
      <c r="U31" s="50" t="s">
        <v>178</v>
      </c>
      <c r="V31" s="50" t="s">
        <v>13</v>
      </c>
      <c r="W31" s="50" t="s">
        <v>136</v>
      </c>
      <c r="X31" s="50">
        <v>2</v>
      </c>
    </row>
    <row r="32" spans="1:24" ht="33.6" customHeight="1">
      <c r="O32" s="50" t="s">
        <v>179</v>
      </c>
      <c r="P32" s="50" t="s">
        <v>180</v>
      </c>
      <c r="Q32" s="50" t="s">
        <v>22</v>
      </c>
      <c r="R32" s="50" t="s">
        <v>181</v>
      </c>
      <c r="S32" s="50" t="s">
        <v>182</v>
      </c>
      <c r="T32" s="50" t="s">
        <v>115</v>
      </c>
      <c r="U32" s="50" t="s">
        <v>183</v>
      </c>
      <c r="V32" s="50" t="s">
        <v>13</v>
      </c>
      <c r="W32" s="50" t="s">
        <v>136</v>
      </c>
      <c r="X32" s="50">
        <v>1</v>
      </c>
    </row>
    <row r="33" spans="15:24" ht="29.4" customHeight="1">
      <c r="O33" s="50" t="s">
        <v>36</v>
      </c>
      <c r="P33" s="50" t="s">
        <v>37</v>
      </c>
      <c r="Q33" s="50" t="s">
        <v>22</v>
      </c>
      <c r="R33" s="50" t="s">
        <v>184</v>
      </c>
      <c r="S33" s="50" t="s">
        <v>185</v>
      </c>
      <c r="T33" s="50" t="s">
        <v>115</v>
      </c>
      <c r="U33" s="50" t="s">
        <v>186</v>
      </c>
      <c r="V33" s="50" t="s">
        <v>41</v>
      </c>
      <c r="W33" s="50" t="s">
        <v>136</v>
      </c>
      <c r="X33" s="50">
        <v>3</v>
      </c>
    </row>
    <row r="34" spans="15:24" ht="30" customHeight="1">
      <c r="O34" s="50" t="s">
        <v>187</v>
      </c>
      <c r="P34" s="50" t="s">
        <v>188</v>
      </c>
      <c r="Q34" s="50" t="s">
        <v>22</v>
      </c>
      <c r="R34" s="50" t="s">
        <v>189</v>
      </c>
      <c r="S34" s="50" t="s">
        <v>190</v>
      </c>
      <c r="T34" s="50" t="s">
        <v>140</v>
      </c>
      <c r="U34" s="50" t="s">
        <v>191</v>
      </c>
      <c r="V34" s="50" t="s">
        <v>13</v>
      </c>
      <c r="W34" s="50" t="s">
        <v>136</v>
      </c>
      <c r="X34" s="50">
        <v>1</v>
      </c>
    </row>
    <row r="35" spans="15:24" ht="43.8" customHeight="1">
      <c r="O35" s="50" t="s">
        <v>192</v>
      </c>
      <c r="P35" s="50" t="s">
        <v>193</v>
      </c>
      <c r="Q35" s="50" t="s">
        <v>22</v>
      </c>
      <c r="R35" s="50" t="s">
        <v>194</v>
      </c>
      <c r="S35" s="50" t="s">
        <v>195</v>
      </c>
      <c r="T35" s="50" t="s">
        <v>140</v>
      </c>
      <c r="U35" s="50" t="s">
        <v>196</v>
      </c>
      <c r="V35" s="50" t="s">
        <v>13</v>
      </c>
      <c r="W35" s="50" t="s">
        <v>136</v>
      </c>
      <c r="X35" s="50">
        <v>1</v>
      </c>
    </row>
    <row r="36" spans="15:24" ht="35.4" customHeight="1">
      <c r="O36" s="50" t="s">
        <v>42</v>
      </c>
      <c r="P36" s="50" t="s">
        <v>43</v>
      </c>
      <c r="Q36" s="50" t="s">
        <v>22</v>
      </c>
      <c r="R36" s="50" t="s">
        <v>197</v>
      </c>
      <c r="S36" s="50" t="s">
        <v>198</v>
      </c>
      <c r="T36" s="50" t="s">
        <v>140</v>
      </c>
      <c r="U36" s="50" t="s">
        <v>199</v>
      </c>
      <c r="V36" s="50" t="s">
        <v>41</v>
      </c>
      <c r="W36" s="50" t="s">
        <v>136</v>
      </c>
      <c r="X36" s="50">
        <v>5</v>
      </c>
    </row>
    <row r="37" spans="15:24" ht="28.8" customHeight="1">
      <c r="O37" s="50" t="s">
        <v>200</v>
      </c>
      <c r="P37" s="50" t="s">
        <v>201</v>
      </c>
      <c r="Q37" s="50" t="s">
        <v>22</v>
      </c>
      <c r="R37" s="50" t="s">
        <v>202</v>
      </c>
      <c r="S37" s="50" t="s">
        <v>203</v>
      </c>
      <c r="T37" s="50" t="s">
        <v>140</v>
      </c>
      <c r="U37" s="50" t="s">
        <v>204</v>
      </c>
      <c r="V37" s="50" t="s">
        <v>13</v>
      </c>
      <c r="W37" s="50" t="s">
        <v>136</v>
      </c>
      <c r="X37" s="50">
        <v>2</v>
      </c>
    </row>
    <row r="38" spans="15:24" ht="44.4" customHeight="1">
      <c r="O38" s="50" t="s">
        <v>205</v>
      </c>
      <c r="P38" s="50" t="s">
        <v>206</v>
      </c>
      <c r="Q38" s="50" t="s">
        <v>22</v>
      </c>
      <c r="R38" s="50" t="s">
        <v>207</v>
      </c>
      <c r="S38" s="50" t="s">
        <v>208</v>
      </c>
      <c r="T38" s="50" t="s">
        <v>140</v>
      </c>
      <c r="U38" s="50" t="s">
        <v>209</v>
      </c>
      <c r="V38" s="50" t="s">
        <v>13</v>
      </c>
      <c r="W38" s="50" t="s">
        <v>136</v>
      </c>
      <c r="X38" s="50">
        <v>2</v>
      </c>
    </row>
    <row r="39" spans="15:24" ht="28.8" customHeight="1">
      <c r="O39" s="50" t="s">
        <v>47</v>
      </c>
      <c r="P39" s="50" t="s">
        <v>48</v>
      </c>
      <c r="Q39" s="50" t="s">
        <v>22</v>
      </c>
      <c r="R39" s="50" t="s">
        <v>49</v>
      </c>
      <c r="S39" s="50" t="s">
        <v>210</v>
      </c>
      <c r="T39" s="50" t="s">
        <v>140</v>
      </c>
      <c r="U39" s="50" t="s">
        <v>211</v>
      </c>
      <c r="V39" s="50" t="s">
        <v>13</v>
      </c>
      <c r="W39" s="50" t="s">
        <v>136</v>
      </c>
      <c r="X39" s="50">
        <v>8</v>
      </c>
    </row>
    <row r="40" spans="15:24" ht="28.8" customHeight="1">
      <c r="O40" s="50" t="s">
        <v>212</v>
      </c>
      <c r="P40" s="50" t="s">
        <v>213</v>
      </c>
      <c r="Q40" s="50" t="s">
        <v>22</v>
      </c>
      <c r="R40" s="50" t="s">
        <v>214</v>
      </c>
      <c r="S40" s="50" t="s">
        <v>215</v>
      </c>
      <c r="T40" s="50" t="s">
        <v>140</v>
      </c>
      <c r="U40" s="50" t="s">
        <v>216</v>
      </c>
      <c r="V40" s="50" t="s">
        <v>13</v>
      </c>
      <c r="W40" s="50" t="s">
        <v>136</v>
      </c>
      <c r="X40" s="50">
        <v>3</v>
      </c>
    </row>
    <row r="41" spans="15:24" ht="29.4" customHeight="1">
      <c r="O41" s="50" t="s">
        <v>217</v>
      </c>
      <c r="P41" s="50" t="s">
        <v>218</v>
      </c>
      <c r="Q41" s="50" t="s">
        <v>22</v>
      </c>
      <c r="R41" s="50" t="s">
        <v>219</v>
      </c>
      <c r="S41" s="50" t="s">
        <v>220</v>
      </c>
      <c r="T41" s="50" t="s">
        <v>140</v>
      </c>
      <c r="U41" s="50" t="s">
        <v>221</v>
      </c>
      <c r="V41" s="50" t="s">
        <v>13</v>
      </c>
      <c r="W41" s="50" t="s">
        <v>136</v>
      </c>
      <c r="X41" s="50">
        <v>3</v>
      </c>
    </row>
    <row r="42" spans="15:24" ht="15.75" customHeight="1">
      <c r="O42" s="50" t="s">
        <v>222</v>
      </c>
      <c r="P42" s="50" t="s">
        <v>223</v>
      </c>
      <c r="Q42" s="50" t="s">
        <v>22</v>
      </c>
      <c r="R42" s="50" t="s">
        <v>224</v>
      </c>
      <c r="S42" s="50" t="s">
        <v>225</v>
      </c>
      <c r="T42" s="50" t="s">
        <v>140</v>
      </c>
      <c r="U42" s="50" t="s">
        <v>226</v>
      </c>
      <c r="V42" s="50" t="s">
        <v>13</v>
      </c>
      <c r="W42" s="50" t="s">
        <v>136</v>
      </c>
      <c r="X42" s="50">
        <v>2</v>
      </c>
    </row>
    <row r="43" spans="15:24" ht="15.75" customHeight="1"/>
    <row r="44" spans="15:24" ht="15.75" customHeight="1"/>
    <row r="45" spans="15:24" ht="15.75" customHeight="1"/>
    <row r="46" spans="15:24" ht="15.75" customHeight="1"/>
    <row r="47" spans="15:24" ht="15.75" customHeight="1"/>
    <row r="48" spans="15:2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8F341-AC5A-4DAE-912E-888B94CB7888}">
  <dimension ref="A1:AA986"/>
  <sheetViews>
    <sheetView topLeftCell="A9" zoomScale="81" zoomScaleNormal="81" workbookViewId="0">
      <selection activeCell="E8" sqref="E8"/>
    </sheetView>
  </sheetViews>
  <sheetFormatPr baseColWidth="10" defaultColWidth="12.5546875" defaultRowHeight="13.2"/>
  <cols>
    <col min="1" max="2" width="12.44140625" style="5" customWidth="1"/>
    <col min="3" max="3" width="35.6640625" style="5" customWidth="1"/>
    <col min="4" max="4" width="20" style="5" customWidth="1"/>
    <col min="5" max="5" width="22.88671875" style="5" customWidth="1"/>
    <col min="6" max="6" width="56.109375" style="5" customWidth="1"/>
    <col min="7" max="7" width="12.44140625" style="5" customWidth="1"/>
    <col min="8" max="8" width="19.33203125" style="5" customWidth="1"/>
    <col min="9" max="27" width="12.44140625" style="5" customWidth="1"/>
    <col min="28" max="16384" width="12.5546875" style="5"/>
  </cols>
  <sheetData>
    <row r="1" spans="1:27" ht="15.75" customHeight="1"/>
    <row r="2" spans="1:27" ht="15.75" customHeight="1">
      <c r="A2" s="6"/>
      <c r="B2" s="7" t="s">
        <v>0</v>
      </c>
      <c r="C2" s="7" t="s">
        <v>1</v>
      </c>
      <c r="D2" s="7" t="s">
        <v>2</v>
      </c>
      <c r="E2" s="7" t="s">
        <v>98</v>
      </c>
      <c r="F2" s="7" t="s">
        <v>4</v>
      </c>
      <c r="G2" s="7" t="s">
        <v>99</v>
      </c>
      <c r="H2" s="7" t="s">
        <v>5</v>
      </c>
      <c r="I2" s="7" t="s">
        <v>6</v>
      </c>
      <c r="J2" s="7" t="s">
        <v>100</v>
      </c>
      <c r="K2" s="7" t="s">
        <v>101</v>
      </c>
      <c r="L2" s="6"/>
      <c r="N2" s="4"/>
      <c r="O2" s="4"/>
      <c r="P2" s="4"/>
      <c r="Q2" s="4"/>
      <c r="R2" s="4"/>
      <c r="S2" s="4"/>
      <c r="T2" s="4"/>
      <c r="U2" s="4"/>
      <c r="V2" s="4"/>
      <c r="W2" s="4"/>
    </row>
    <row r="3" spans="1:27" ht="42.6" customHeight="1">
      <c r="A3" s="6"/>
      <c r="B3" s="57" t="s">
        <v>52</v>
      </c>
      <c r="C3" s="57" t="s">
        <v>53</v>
      </c>
      <c r="D3" s="57" t="s">
        <v>54</v>
      </c>
      <c r="E3" s="57" t="s">
        <v>261</v>
      </c>
      <c r="F3" s="57" t="s">
        <v>56</v>
      </c>
      <c r="G3" s="57"/>
      <c r="H3" s="57" t="s">
        <v>35</v>
      </c>
      <c r="I3" s="57" t="s">
        <v>13</v>
      </c>
      <c r="J3" s="57" t="s">
        <v>136</v>
      </c>
      <c r="K3" s="57">
        <v>8</v>
      </c>
      <c r="L3" s="6"/>
      <c r="N3" s="4"/>
      <c r="O3"/>
      <c r="P3"/>
      <c r="Q3"/>
      <c r="R3"/>
      <c r="S3"/>
      <c r="T3"/>
      <c r="U3"/>
      <c r="V3"/>
      <c r="W3" s="4"/>
    </row>
    <row r="4" spans="1:27" ht="26.25" customHeight="1">
      <c r="A4" s="8"/>
      <c r="B4" s="56" t="s">
        <v>227</v>
      </c>
      <c r="C4" s="56" t="s">
        <v>231</v>
      </c>
      <c r="D4" s="56"/>
      <c r="E4" s="56"/>
      <c r="F4" s="56"/>
      <c r="G4" s="56" t="s">
        <v>109</v>
      </c>
      <c r="H4" s="56"/>
      <c r="I4" s="56" t="s">
        <v>13</v>
      </c>
      <c r="J4" s="47" t="s">
        <v>160</v>
      </c>
      <c r="K4" s="56">
        <v>2</v>
      </c>
      <c r="L4" s="8"/>
      <c r="M4" s="10"/>
      <c r="N4"/>
      <c r="O4"/>
      <c r="P4"/>
      <c r="Q4"/>
      <c r="R4"/>
      <c r="S4"/>
      <c r="T4"/>
      <c r="U4"/>
      <c r="V4"/>
      <c r="W4" s="4"/>
      <c r="X4" s="10"/>
      <c r="Y4" s="10"/>
      <c r="Z4" s="10"/>
      <c r="AA4" s="10"/>
    </row>
    <row r="5" spans="1:27" ht="26.4" customHeight="1">
      <c r="A5" s="8"/>
      <c r="B5" s="56" t="s">
        <v>228</v>
      </c>
      <c r="C5" s="56" t="s">
        <v>232</v>
      </c>
      <c r="D5" s="56"/>
      <c r="E5" s="56"/>
      <c r="F5" s="56"/>
      <c r="G5" s="56" t="s">
        <v>109</v>
      </c>
      <c r="H5" s="56"/>
      <c r="I5" s="56" t="s">
        <v>13</v>
      </c>
      <c r="J5" s="47" t="s">
        <v>160</v>
      </c>
      <c r="K5" s="56">
        <v>2</v>
      </c>
      <c r="L5" s="8"/>
      <c r="M5" s="10"/>
      <c r="N5"/>
      <c r="O5"/>
      <c r="P5"/>
      <c r="Q5"/>
      <c r="R5"/>
      <c r="S5"/>
      <c r="T5"/>
      <c r="U5"/>
      <c r="V5"/>
      <c r="W5" s="4"/>
      <c r="X5" s="10"/>
      <c r="Y5" s="10"/>
      <c r="Z5" s="10"/>
      <c r="AA5" s="10"/>
    </row>
    <row r="6" spans="1:27" ht="25.8" customHeight="1">
      <c r="A6" s="8"/>
      <c r="B6" s="56" t="s">
        <v>229</v>
      </c>
      <c r="C6" s="56" t="s">
        <v>233</v>
      </c>
      <c r="D6" s="56"/>
      <c r="E6" s="56"/>
      <c r="F6" s="56"/>
      <c r="G6" s="56" t="s">
        <v>109</v>
      </c>
      <c r="H6" s="56"/>
      <c r="I6" s="56" t="s">
        <v>13</v>
      </c>
      <c r="J6" s="47" t="s">
        <v>160</v>
      </c>
      <c r="K6" s="56">
        <v>2</v>
      </c>
      <c r="L6" s="8"/>
      <c r="M6" s="10"/>
      <c r="N6"/>
      <c r="O6"/>
      <c r="P6"/>
      <c r="Q6"/>
      <c r="R6"/>
      <c r="S6"/>
      <c r="T6"/>
      <c r="U6"/>
      <c r="V6"/>
      <c r="W6" s="4"/>
      <c r="X6" s="10"/>
      <c r="Y6" s="10"/>
      <c r="Z6" s="10"/>
      <c r="AA6" s="10"/>
    </row>
    <row r="7" spans="1:27" ht="30" customHeight="1">
      <c r="A7" s="8"/>
      <c r="B7" s="56" t="s">
        <v>230</v>
      </c>
      <c r="C7" s="56" t="s">
        <v>234</v>
      </c>
      <c r="D7" s="56"/>
      <c r="E7" s="56"/>
      <c r="F7" s="56"/>
      <c r="G7" s="56" t="s">
        <v>109</v>
      </c>
      <c r="H7" s="56"/>
      <c r="I7" s="56" t="s">
        <v>13</v>
      </c>
      <c r="J7" s="47" t="s">
        <v>160</v>
      </c>
      <c r="K7" s="56">
        <v>2</v>
      </c>
      <c r="L7" s="37" t="s">
        <v>112</v>
      </c>
      <c r="M7" s="10"/>
      <c r="N7"/>
      <c r="O7"/>
      <c r="P7"/>
      <c r="Q7"/>
      <c r="R7"/>
      <c r="S7"/>
      <c r="T7"/>
      <c r="U7"/>
      <c r="V7"/>
      <c r="W7" s="4"/>
      <c r="X7" s="10"/>
      <c r="Y7" s="10"/>
      <c r="Z7" s="10"/>
      <c r="AA7" s="10"/>
    </row>
    <row r="8" spans="1:27" ht="54" customHeight="1">
      <c r="A8" s="8"/>
      <c r="B8" s="57" t="s">
        <v>58</v>
      </c>
      <c r="C8" s="57" t="s">
        <v>59</v>
      </c>
      <c r="D8" s="57" t="s">
        <v>22</v>
      </c>
      <c r="E8" s="57" t="s">
        <v>259</v>
      </c>
      <c r="F8" s="57" t="s">
        <v>260</v>
      </c>
      <c r="G8" s="57"/>
      <c r="H8" s="57"/>
      <c r="I8" s="57" t="s">
        <v>13</v>
      </c>
      <c r="J8" s="57" t="s">
        <v>136</v>
      </c>
      <c r="K8" s="57">
        <v>10</v>
      </c>
      <c r="L8" s="8"/>
      <c r="M8" s="10"/>
      <c r="N8" s="4"/>
      <c r="O8"/>
      <c r="P8"/>
      <c r="Q8"/>
      <c r="R8"/>
      <c r="S8"/>
      <c r="T8"/>
      <c r="U8"/>
      <c r="V8"/>
      <c r="W8" s="4"/>
      <c r="X8" s="10"/>
      <c r="Y8" s="10"/>
      <c r="Z8" s="10"/>
      <c r="AA8" s="10"/>
    </row>
    <row r="9" spans="1:27" ht="26.4">
      <c r="A9" s="8"/>
      <c r="B9" s="56" t="s">
        <v>235</v>
      </c>
      <c r="C9" s="56" t="s">
        <v>239</v>
      </c>
      <c r="D9" s="56"/>
      <c r="E9" s="56"/>
      <c r="F9" s="56"/>
      <c r="G9" s="56" t="s">
        <v>109</v>
      </c>
      <c r="H9" s="56"/>
      <c r="I9" s="56" t="s">
        <v>13</v>
      </c>
      <c r="J9" s="47" t="s">
        <v>160</v>
      </c>
      <c r="K9" s="56">
        <v>2</v>
      </c>
      <c r="L9" s="8"/>
      <c r="M9" s="24"/>
      <c r="N9"/>
      <c r="O9"/>
      <c r="P9"/>
      <c r="Q9"/>
      <c r="R9"/>
      <c r="S9"/>
      <c r="T9"/>
      <c r="U9"/>
      <c r="V9"/>
      <c r="W9" s="4"/>
      <c r="X9" s="10"/>
      <c r="Y9" s="10"/>
      <c r="Z9" s="10"/>
      <c r="AA9" s="10"/>
    </row>
    <row r="10" spans="1:27" ht="26.4">
      <c r="A10" s="8"/>
      <c r="B10" s="56" t="s">
        <v>236</v>
      </c>
      <c r="C10" s="56" t="s">
        <v>240</v>
      </c>
      <c r="D10" s="56"/>
      <c r="E10" s="56"/>
      <c r="F10" s="56"/>
      <c r="G10" s="56" t="s">
        <v>109</v>
      </c>
      <c r="H10" s="56"/>
      <c r="I10" s="56" t="s">
        <v>13</v>
      </c>
      <c r="J10" s="47" t="s">
        <v>160</v>
      </c>
      <c r="K10" s="56">
        <v>3</v>
      </c>
      <c r="L10" s="8"/>
      <c r="M10" s="24"/>
      <c r="N10"/>
      <c r="O10"/>
      <c r="P10"/>
      <c r="Q10"/>
      <c r="R10"/>
      <c r="S10"/>
      <c r="T10"/>
      <c r="U10"/>
      <c r="V10"/>
      <c r="W10" s="4"/>
      <c r="X10" s="10"/>
      <c r="Y10" s="10"/>
      <c r="Z10" s="10"/>
      <c r="AA10" s="10"/>
    </row>
    <row r="11" spans="1:27" ht="26.4">
      <c r="A11" s="8"/>
      <c r="B11" s="56" t="s">
        <v>237</v>
      </c>
      <c r="C11" s="56" t="s">
        <v>241</v>
      </c>
      <c r="D11" s="56"/>
      <c r="E11" s="56"/>
      <c r="F11" s="56"/>
      <c r="G11" s="56" t="s">
        <v>109</v>
      </c>
      <c r="H11" s="56"/>
      <c r="I11" s="56" t="s">
        <v>13</v>
      </c>
      <c r="J11" s="47" t="s">
        <v>160</v>
      </c>
      <c r="K11" s="56">
        <v>3</v>
      </c>
      <c r="L11" s="8"/>
      <c r="M11" s="24"/>
      <c r="N11"/>
      <c r="O11"/>
      <c r="P11"/>
      <c r="Q11"/>
      <c r="R11"/>
      <c r="S11"/>
      <c r="T11"/>
      <c r="U11"/>
      <c r="V11"/>
      <c r="W11" s="4"/>
      <c r="X11" s="10"/>
      <c r="Y11" s="10"/>
      <c r="Z11" s="10"/>
      <c r="AA11" s="10"/>
    </row>
    <row r="12" spans="1:27" ht="29.4" customHeight="1">
      <c r="A12" s="8"/>
      <c r="B12" s="56" t="s">
        <v>238</v>
      </c>
      <c r="C12" s="56" t="s">
        <v>242</v>
      </c>
      <c r="D12" s="56"/>
      <c r="E12" s="56"/>
      <c r="F12" s="56"/>
      <c r="G12" s="56" t="s">
        <v>109</v>
      </c>
      <c r="H12" s="56"/>
      <c r="I12" s="56" t="s">
        <v>13</v>
      </c>
      <c r="J12" s="47" t="s">
        <v>160</v>
      </c>
      <c r="K12" s="56">
        <v>2</v>
      </c>
      <c r="L12" s="8"/>
      <c r="M12" s="10"/>
      <c r="N12"/>
      <c r="O12"/>
      <c r="P12"/>
      <c r="Q12"/>
      <c r="R12"/>
      <c r="S12"/>
      <c r="T12"/>
      <c r="U12"/>
      <c r="V12"/>
      <c r="W12" s="4"/>
      <c r="X12" s="10"/>
      <c r="Y12" s="10"/>
      <c r="Z12" s="10"/>
      <c r="AA12" s="10"/>
    </row>
    <row r="13" spans="1:27" ht="28.8" customHeight="1">
      <c r="A13" s="8"/>
      <c r="B13" s="57" t="s">
        <v>63</v>
      </c>
      <c r="C13" s="57" t="s">
        <v>64</v>
      </c>
      <c r="D13" s="57" t="s">
        <v>22</v>
      </c>
      <c r="E13" s="57" t="s">
        <v>65</v>
      </c>
      <c r="F13" s="57" t="s">
        <v>258</v>
      </c>
      <c r="G13" s="57"/>
      <c r="H13" s="57"/>
      <c r="I13" s="57" t="s">
        <v>41</v>
      </c>
      <c r="J13" s="57" t="s">
        <v>136</v>
      </c>
      <c r="K13" s="57">
        <v>6</v>
      </c>
      <c r="L13" s="8"/>
      <c r="M13" s="10"/>
      <c r="N13"/>
      <c r="O13"/>
      <c r="P13"/>
      <c r="Q13"/>
      <c r="R13"/>
      <c r="S13"/>
      <c r="T13"/>
      <c r="U13"/>
      <c r="V13"/>
      <c r="W13" s="4"/>
      <c r="X13" s="10"/>
      <c r="Y13" s="10"/>
      <c r="Z13" s="10"/>
      <c r="AA13" s="10"/>
    </row>
    <row r="14" spans="1:27" ht="40.799999999999997" customHeight="1">
      <c r="A14" s="8" t="s">
        <v>112</v>
      </c>
      <c r="B14" s="56" t="s">
        <v>244</v>
      </c>
      <c r="C14" s="56" t="s">
        <v>247</v>
      </c>
      <c r="D14" s="56"/>
      <c r="E14" s="56"/>
      <c r="F14" s="56"/>
      <c r="G14" s="56" t="s">
        <v>109</v>
      </c>
      <c r="H14" s="56"/>
      <c r="I14" s="56" t="s">
        <v>41</v>
      </c>
      <c r="J14" s="47" t="s">
        <v>250</v>
      </c>
      <c r="K14" s="56">
        <v>2</v>
      </c>
      <c r="L14" s="8"/>
      <c r="M14" s="10"/>
      <c r="N14"/>
      <c r="O14"/>
      <c r="P14"/>
      <c r="Q14"/>
      <c r="R14"/>
      <c r="S14"/>
      <c r="T14"/>
      <c r="U14"/>
      <c r="V14"/>
      <c r="W14" s="4"/>
      <c r="X14" s="10"/>
      <c r="Y14" s="10"/>
      <c r="Z14" s="10"/>
      <c r="AA14" s="10"/>
    </row>
    <row r="15" spans="1:27" ht="40.799999999999997" customHeight="1">
      <c r="A15" s="8"/>
      <c r="B15" s="56" t="s">
        <v>245</v>
      </c>
      <c r="C15" s="56" t="s">
        <v>248</v>
      </c>
      <c r="D15" s="56"/>
      <c r="E15" s="56"/>
      <c r="F15" s="56"/>
      <c r="G15" s="56" t="s">
        <v>109</v>
      </c>
      <c r="H15" s="56"/>
      <c r="I15" s="56" t="s">
        <v>41</v>
      </c>
      <c r="J15" s="47" t="s">
        <v>250</v>
      </c>
      <c r="K15" s="56">
        <v>2</v>
      </c>
      <c r="L15" s="8"/>
      <c r="M15" s="10"/>
      <c r="N15"/>
      <c r="O15"/>
      <c r="P15"/>
      <c r="Q15"/>
      <c r="R15"/>
      <c r="S15"/>
      <c r="T15"/>
      <c r="U15"/>
      <c r="V15"/>
      <c r="W15" s="4"/>
      <c r="X15" s="10"/>
      <c r="Y15" s="10"/>
      <c r="Z15" s="10"/>
      <c r="AA15" s="10"/>
    </row>
    <row r="16" spans="1:27" ht="40.799999999999997" customHeight="1">
      <c r="A16" s="8"/>
      <c r="B16" s="56" t="s">
        <v>246</v>
      </c>
      <c r="C16" s="56" t="s">
        <v>249</v>
      </c>
      <c r="D16" s="56"/>
      <c r="E16" s="56"/>
      <c r="F16" s="56"/>
      <c r="G16" s="56" t="s">
        <v>109</v>
      </c>
      <c r="H16" s="56"/>
      <c r="I16" s="56" t="s">
        <v>41</v>
      </c>
      <c r="J16" s="47" t="s">
        <v>250</v>
      </c>
      <c r="K16" s="56">
        <v>2</v>
      </c>
      <c r="L16" s="8"/>
      <c r="M16" s="10"/>
      <c r="N16"/>
      <c r="O16"/>
      <c r="P16"/>
      <c r="Q16"/>
      <c r="R16"/>
      <c r="S16"/>
      <c r="T16"/>
      <c r="U16"/>
      <c r="V16"/>
      <c r="W16" s="4"/>
      <c r="X16" s="10"/>
      <c r="Y16" s="10"/>
      <c r="Z16" s="10"/>
      <c r="AA16" s="10"/>
    </row>
    <row r="17" spans="1:27" ht="29.4" customHeight="1">
      <c r="A17" s="8"/>
      <c r="B17" s="57" t="s">
        <v>68</v>
      </c>
      <c r="C17" s="57" t="s">
        <v>69</v>
      </c>
      <c r="D17" s="57" t="s">
        <v>22</v>
      </c>
      <c r="E17" s="57" t="s">
        <v>257</v>
      </c>
      <c r="F17" s="57" t="s">
        <v>71</v>
      </c>
      <c r="G17" s="57"/>
      <c r="H17" s="57"/>
      <c r="I17" s="57" t="s">
        <v>13</v>
      </c>
      <c r="J17" s="57" t="s">
        <v>136</v>
      </c>
      <c r="K17" s="57">
        <v>6</v>
      </c>
      <c r="L17" s="8"/>
      <c r="M17" s="10"/>
      <c r="N17"/>
      <c r="O17"/>
      <c r="P17"/>
      <c r="Q17"/>
      <c r="R17"/>
      <c r="S17"/>
      <c r="T17"/>
      <c r="U17"/>
      <c r="V17"/>
      <c r="W17" s="4"/>
      <c r="X17" s="10"/>
      <c r="Y17" s="10"/>
      <c r="Z17" s="10"/>
      <c r="AA17" s="10"/>
    </row>
    <row r="18" spans="1:27" ht="30" customHeight="1">
      <c r="A18" s="6"/>
      <c r="B18" s="56" t="s">
        <v>254</v>
      </c>
      <c r="C18" s="56" t="s">
        <v>251</v>
      </c>
      <c r="D18" s="56"/>
      <c r="E18" s="56"/>
      <c r="F18" s="56"/>
      <c r="G18" s="56" t="s">
        <v>109</v>
      </c>
      <c r="H18" s="56"/>
      <c r="I18" s="56" t="s">
        <v>13</v>
      </c>
      <c r="J18" s="47" t="s">
        <v>250</v>
      </c>
      <c r="K18" s="56">
        <v>2</v>
      </c>
      <c r="L18" s="6"/>
      <c r="N18"/>
      <c r="O18"/>
      <c r="P18"/>
      <c r="Q18"/>
      <c r="R18"/>
      <c r="S18"/>
      <c r="T18"/>
      <c r="U18"/>
      <c r="V18"/>
      <c r="W18" s="4"/>
    </row>
    <row r="19" spans="1:27" ht="28.8" customHeight="1">
      <c r="A19" s="6"/>
      <c r="B19" s="56" t="s">
        <v>255</v>
      </c>
      <c r="C19" s="56" t="s">
        <v>252</v>
      </c>
      <c r="D19" s="56"/>
      <c r="E19" s="56"/>
      <c r="F19" s="56"/>
      <c r="G19" s="56" t="s">
        <v>109</v>
      </c>
      <c r="H19" s="56"/>
      <c r="I19" s="56" t="s">
        <v>13</v>
      </c>
      <c r="J19" s="47" t="s">
        <v>250</v>
      </c>
      <c r="K19" s="56">
        <v>2</v>
      </c>
      <c r="L19" s="6"/>
      <c r="N19"/>
      <c r="O19"/>
      <c r="P19"/>
      <c r="Q19"/>
      <c r="R19"/>
      <c r="S19"/>
      <c r="T19"/>
      <c r="U19"/>
      <c r="V19"/>
      <c r="W19" s="4"/>
    </row>
    <row r="20" spans="1:27" ht="28.8" customHeight="1">
      <c r="A20" s="6"/>
      <c r="B20" s="56" t="s">
        <v>256</v>
      </c>
      <c r="C20" s="56" t="s">
        <v>253</v>
      </c>
      <c r="D20" s="56"/>
      <c r="E20" s="56"/>
      <c r="F20" s="56"/>
      <c r="G20" s="56" t="s">
        <v>109</v>
      </c>
      <c r="H20" s="56"/>
      <c r="I20" s="56" t="s">
        <v>13</v>
      </c>
      <c r="J20" s="47" t="s">
        <v>250</v>
      </c>
      <c r="K20" s="56">
        <v>2</v>
      </c>
      <c r="L20" s="6"/>
      <c r="N20"/>
      <c r="O20"/>
      <c r="P20"/>
      <c r="Q20"/>
      <c r="R20"/>
      <c r="S20"/>
      <c r="T20"/>
      <c r="U20"/>
      <c r="V20"/>
      <c r="W20" s="4"/>
    </row>
    <row r="21" spans="1:27" ht="28.8" customHeight="1">
      <c r="A21" s="6"/>
      <c r="L21" s="6"/>
      <c r="N21"/>
      <c r="O21"/>
      <c r="P21"/>
      <c r="Q21"/>
      <c r="R21"/>
      <c r="S21"/>
      <c r="T21"/>
      <c r="U21"/>
      <c r="V21"/>
      <c r="W21" s="4"/>
    </row>
    <row r="22" spans="1:27" ht="28.8" customHeight="1">
      <c r="A22" s="6"/>
      <c r="L22" s="6"/>
      <c r="N22"/>
      <c r="O22"/>
      <c r="P22"/>
      <c r="Q22"/>
      <c r="R22"/>
      <c r="S22"/>
      <c r="T22"/>
      <c r="U22"/>
      <c r="V22"/>
      <c r="W22" s="4"/>
    </row>
    <row r="23" spans="1:27" ht="28.8" customHeight="1">
      <c r="A23" s="6"/>
      <c r="L23" s="6"/>
      <c r="N23"/>
      <c r="O23"/>
      <c r="P23"/>
      <c r="Q23"/>
      <c r="R23"/>
      <c r="S23"/>
      <c r="T23"/>
      <c r="U23"/>
      <c r="V23"/>
      <c r="W23" s="4"/>
    </row>
    <row r="24" spans="1:27" ht="42" customHeight="1">
      <c r="A24" s="6"/>
      <c r="L24" s="6"/>
      <c r="N24" s="4"/>
      <c r="O24"/>
      <c r="P24"/>
      <c r="Q24"/>
      <c r="R24"/>
      <c r="S24"/>
      <c r="T24"/>
      <c r="U24"/>
      <c r="V24"/>
      <c r="W24" s="4"/>
    </row>
    <row r="25" spans="1:27" ht="28.2" customHeight="1">
      <c r="A25" s="6"/>
      <c r="L25" s="6"/>
      <c r="N25"/>
      <c r="O25"/>
      <c r="P25"/>
      <c r="Q25"/>
      <c r="R25"/>
      <c r="S25"/>
      <c r="T25"/>
      <c r="U25"/>
      <c r="V25"/>
      <c r="W25" s="4"/>
    </row>
    <row r="26" spans="1:27" ht="29.4" customHeight="1">
      <c r="A26" s="6"/>
      <c r="L26" s="6"/>
      <c r="N26"/>
      <c r="O26"/>
      <c r="P26"/>
      <c r="Q26"/>
      <c r="R26"/>
      <c r="S26"/>
      <c r="T26"/>
      <c r="U26"/>
      <c r="V26"/>
      <c r="W26" s="4"/>
    </row>
    <row r="27" spans="1:27" ht="27" customHeight="1">
      <c r="A27" s="6"/>
      <c r="L27" s="6"/>
      <c r="N27"/>
      <c r="O27"/>
      <c r="P27"/>
      <c r="Q27"/>
      <c r="R27"/>
      <c r="S27"/>
      <c r="T27"/>
      <c r="U27"/>
      <c r="V27"/>
      <c r="W27" s="4"/>
    </row>
    <row r="28" spans="1:27" ht="26.4" customHeight="1">
      <c r="A28" s="6"/>
      <c r="L28" s="6"/>
      <c r="N28"/>
      <c r="O28"/>
      <c r="P28"/>
      <c r="Q28"/>
      <c r="R28"/>
      <c r="S28"/>
      <c r="T28"/>
      <c r="U28"/>
      <c r="V28"/>
      <c r="W28" s="4"/>
    </row>
    <row r="29" spans="1:27" ht="41.4" customHeight="1">
      <c r="A29" s="6"/>
      <c r="L29" s="6"/>
      <c r="N29"/>
      <c r="O29"/>
      <c r="P29"/>
      <c r="Q29"/>
      <c r="R29"/>
      <c r="S29"/>
      <c r="T29"/>
      <c r="U29"/>
      <c r="V29"/>
      <c r="W29" s="4"/>
    </row>
    <row r="30" spans="1:27" ht="27" customHeight="1">
      <c r="A30" s="6"/>
      <c r="L30" s="6"/>
      <c r="O30" s="49" t="s">
        <v>0</v>
      </c>
      <c r="P30" s="49" t="s">
        <v>1</v>
      </c>
      <c r="Q30" s="49" t="s">
        <v>161</v>
      </c>
      <c r="R30" s="49" t="s">
        <v>162</v>
      </c>
      <c r="S30" s="49" t="s">
        <v>163</v>
      </c>
      <c r="T30" s="49" t="s">
        <v>99</v>
      </c>
      <c r="U30" s="49" t="s">
        <v>5</v>
      </c>
      <c r="V30" s="49" t="s">
        <v>6</v>
      </c>
      <c r="W30" s="49" t="s">
        <v>100</v>
      </c>
      <c r="X30" s="49" t="s">
        <v>101</v>
      </c>
    </row>
    <row r="31" spans="1:27" ht="33.6" customHeight="1">
      <c r="A31" s="6"/>
      <c r="L31" s="6"/>
      <c r="O31" s="50" t="s">
        <v>31</v>
      </c>
      <c r="P31" s="50" t="s">
        <v>32</v>
      </c>
      <c r="Q31" s="50" t="s">
        <v>22</v>
      </c>
      <c r="R31" s="50" t="s">
        <v>33</v>
      </c>
      <c r="S31" s="50" t="s">
        <v>34</v>
      </c>
      <c r="T31" s="50" t="s">
        <v>115</v>
      </c>
      <c r="U31" s="50" t="s">
        <v>35</v>
      </c>
      <c r="V31" s="50" t="s">
        <v>13</v>
      </c>
      <c r="W31" s="50" t="s">
        <v>136</v>
      </c>
      <c r="X31" s="50">
        <v>5</v>
      </c>
    </row>
    <row r="32" spans="1:27" ht="28.8" customHeight="1">
      <c r="A32" s="6"/>
      <c r="L32" s="6"/>
      <c r="O32" s="50" t="s">
        <v>164</v>
      </c>
      <c r="P32" s="50" t="s">
        <v>165</v>
      </c>
      <c r="Q32" s="50" t="s">
        <v>22</v>
      </c>
      <c r="R32" s="50" t="s">
        <v>166</v>
      </c>
      <c r="S32" s="50" t="s">
        <v>167</v>
      </c>
      <c r="T32" s="50" t="s">
        <v>115</v>
      </c>
      <c r="U32" s="50" t="s">
        <v>168</v>
      </c>
      <c r="V32" s="50" t="s">
        <v>13</v>
      </c>
      <c r="W32" s="50" t="s">
        <v>136</v>
      </c>
      <c r="X32" s="50">
        <v>2</v>
      </c>
    </row>
    <row r="33" spans="1:24" ht="30" customHeight="1">
      <c r="A33" s="6"/>
      <c r="L33" s="6"/>
      <c r="O33" s="50" t="s">
        <v>169</v>
      </c>
      <c r="P33" s="50" t="s">
        <v>170</v>
      </c>
      <c r="Q33" s="50" t="s">
        <v>22</v>
      </c>
      <c r="R33" s="50" t="s">
        <v>171</v>
      </c>
      <c r="S33" s="50" t="s">
        <v>172</v>
      </c>
      <c r="T33" s="50" t="s">
        <v>115</v>
      </c>
      <c r="U33" s="50" t="s">
        <v>173</v>
      </c>
      <c r="V33" s="50" t="s">
        <v>13</v>
      </c>
      <c r="W33" s="50" t="s">
        <v>136</v>
      </c>
      <c r="X33" s="50">
        <v>2</v>
      </c>
    </row>
    <row r="34" spans="1:24" ht="34.200000000000003" customHeight="1">
      <c r="A34" s="6"/>
      <c r="L34" s="6"/>
      <c r="O34" s="50" t="s">
        <v>174</v>
      </c>
      <c r="P34" s="50" t="s">
        <v>175</v>
      </c>
      <c r="Q34" s="50" t="s">
        <v>22</v>
      </c>
      <c r="R34" s="50" t="s">
        <v>176</v>
      </c>
      <c r="S34" s="50" t="s">
        <v>177</v>
      </c>
      <c r="T34" s="50" t="s">
        <v>115</v>
      </c>
      <c r="U34" s="50" t="s">
        <v>178</v>
      </c>
      <c r="V34" s="50" t="s">
        <v>13</v>
      </c>
      <c r="W34" s="50" t="s">
        <v>136</v>
      </c>
      <c r="X34" s="50">
        <v>2</v>
      </c>
    </row>
    <row r="35" spans="1:24" ht="33.6" customHeight="1">
      <c r="O35" s="50" t="s">
        <v>179</v>
      </c>
      <c r="P35" s="50" t="s">
        <v>180</v>
      </c>
      <c r="Q35" s="50" t="s">
        <v>22</v>
      </c>
      <c r="R35" s="50" t="s">
        <v>181</v>
      </c>
      <c r="S35" s="50" t="s">
        <v>182</v>
      </c>
      <c r="T35" s="50" t="s">
        <v>115</v>
      </c>
      <c r="U35" s="50" t="s">
        <v>183</v>
      </c>
      <c r="V35" s="50" t="s">
        <v>13</v>
      </c>
      <c r="W35" s="50" t="s">
        <v>136</v>
      </c>
      <c r="X35" s="50">
        <v>1</v>
      </c>
    </row>
    <row r="36" spans="1:24" ht="29.4" customHeight="1">
      <c r="O36" s="50" t="s">
        <v>36</v>
      </c>
      <c r="P36" s="50" t="s">
        <v>37</v>
      </c>
      <c r="Q36" s="50" t="s">
        <v>22</v>
      </c>
      <c r="R36" s="50" t="s">
        <v>184</v>
      </c>
      <c r="S36" s="50" t="s">
        <v>185</v>
      </c>
      <c r="T36" s="50" t="s">
        <v>115</v>
      </c>
      <c r="U36" s="50" t="s">
        <v>186</v>
      </c>
      <c r="V36" s="50" t="s">
        <v>41</v>
      </c>
      <c r="W36" s="50" t="s">
        <v>136</v>
      </c>
      <c r="X36" s="50">
        <v>3</v>
      </c>
    </row>
    <row r="37" spans="1:24" ht="30" customHeight="1">
      <c r="O37" s="50" t="s">
        <v>187</v>
      </c>
      <c r="P37" s="50" t="s">
        <v>188</v>
      </c>
      <c r="Q37" s="50" t="s">
        <v>22</v>
      </c>
      <c r="R37" s="50" t="s">
        <v>189</v>
      </c>
      <c r="S37" s="50" t="s">
        <v>190</v>
      </c>
      <c r="T37" s="50" t="s">
        <v>140</v>
      </c>
      <c r="U37" s="50" t="s">
        <v>191</v>
      </c>
      <c r="V37" s="50" t="s">
        <v>13</v>
      </c>
      <c r="W37" s="50" t="s">
        <v>136</v>
      </c>
      <c r="X37" s="50">
        <v>1</v>
      </c>
    </row>
    <row r="38" spans="1:24" ht="43.8" customHeight="1">
      <c r="O38" s="50" t="s">
        <v>192</v>
      </c>
      <c r="P38" s="50" t="s">
        <v>193</v>
      </c>
      <c r="Q38" s="50" t="s">
        <v>22</v>
      </c>
      <c r="R38" s="50" t="s">
        <v>194</v>
      </c>
      <c r="S38" s="50" t="s">
        <v>195</v>
      </c>
      <c r="T38" s="50" t="s">
        <v>140</v>
      </c>
      <c r="U38" s="50" t="s">
        <v>196</v>
      </c>
      <c r="V38" s="50" t="s">
        <v>13</v>
      </c>
      <c r="W38" s="50" t="s">
        <v>136</v>
      </c>
      <c r="X38" s="50">
        <v>1</v>
      </c>
    </row>
    <row r="39" spans="1:24" ht="35.4" customHeight="1">
      <c r="O39" s="50" t="s">
        <v>42</v>
      </c>
      <c r="P39" s="50" t="s">
        <v>43</v>
      </c>
      <c r="Q39" s="50" t="s">
        <v>22</v>
      </c>
      <c r="R39" s="50" t="s">
        <v>197</v>
      </c>
      <c r="S39" s="50" t="s">
        <v>198</v>
      </c>
      <c r="T39" s="50" t="s">
        <v>140</v>
      </c>
      <c r="U39" s="50" t="s">
        <v>199</v>
      </c>
      <c r="V39" s="50" t="s">
        <v>41</v>
      </c>
      <c r="W39" s="50" t="s">
        <v>136</v>
      </c>
      <c r="X39" s="50">
        <v>5</v>
      </c>
    </row>
    <row r="40" spans="1:24" ht="28.8" customHeight="1">
      <c r="O40" s="50" t="s">
        <v>200</v>
      </c>
      <c r="P40" s="50" t="s">
        <v>201</v>
      </c>
      <c r="Q40" s="50" t="s">
        <v>22</v>
      </c>
      <c r="R40" s="50" t="s">
        <v>202</v>
      </c>
      <c r="S40" s="50" t="s">
        <v>203</v>
      </c>
      <c r="T40" s="50" t="s">
        <v>140</v>
      </c>
      <c r="U40" s="50" t="s">
        <v>204</v>
      </c>
      <c r="V40" s="50" t="s">
        <v>13</v>
      </c>
      <c r="W40" s="50" t="s">
        <v>136</v>
      </c>
      <c r="X40" s="50">
        <v>2</v>
      </c>
    </row>
    <row r="41" spans="1:24" ht="44.4" customHeight="1">
      <c r="O41" s="50" t="s">
        <v>205</v>
      </c>
      <c r="P41" s="50" t="s">
        <v>206</v>
      </c>
      <c r="Q41" s="50" t="s">
        <v>22</v>
      </c>
      <c r="R41" s="50" t="s">
        <v>207</v>
      </c>
      <c r="S41" s="50" t="s">
        <v>208</v>
      </c>
      <c r="T41" s="50" t="s">
        <v>140</v>
      </c>
      <c r="U41" s="50" t="s">
        <v>209</v>
      </c>
      <c r="V41" s="50" t="s">
        <v>13</v>
      </c>
      <c r="W41" s="50" t="s">
        <v>136</v>
      </c>
      <c r="X41" s="50">
        <v>2</v>
      </c>
    </row>
    <row r="42" spans="1:24" ht="28.8" customHeight="1">
      <c r="O42" s="50" t="s">
        <v>47</v>
      </c>
      <c r="P42" s="50" t="s">
        <v>48</v>
      </c>
      <c r="Q42" s="50" t="s">
        <v>22</v>
      </c>
      <c r="R42" s="50" t="s">
        <v>49</v>
      </c>
      <c r="S42" s="50" t="s">
        <v>210</v>
      </c>
      <c r="T42" s="50" t="s">
        <v>140</v>
      </c>
      <c r="U42" s="50" t="s">
        <v>211</v>
      </c>
      <c r="V42" s="50" t="s">
        <v>13</v>
      </c>
      <c r="W42" s="50" t="s">
        <v>136</v>
      </c>
      <c r="X42" s="50">
        <v>8</v>
      </c>
    </row>
    <row r="43" spans="1:24" ht="28.8" customHeight="1">
      <c r="O43" s="50" t="s">
        <v>212</v>
      </c>
      <c r="P43" s="50" t="s">
        <v>213</v>
      </c>
      <c r="Q43" s="50" t="s">
        <v>22</v>
      </c>
      <c r="R43" s="50" t="s">
        <v>214</v>
      </c>
      <c r="S43" s="50" t="s">
        <v>215</v>
      </c>
      <c r="T43" s="50" t="s">
        <v>140</v>
      </c>
      <c r="U43" s="50" t="s">
        <v>216</v>
      </c>
      <c r="V43" s="50" t="s">
        <v>13</v>
      </c>
      <c r="W43" s="50" t="s">
        <v>136</v>
      </c>
      <c r="X43" s="50">
        <v>3</v>
      </c>
    </row>
    <row r="44" spans="1:24" ht="29.4" customHeight="1">
      <c r="O44" s="50" t="s">
        <v>217</v>
      </c>
      <c r="P44" s="50" t="s">
        <v>218</v>
      </c>
      <c r="Q44" s="50" t="s">
        <v>22</v>
      </c>
      <c r="R44" s="50" t="s">
        <v>219</v>
      </c>
      <c r="S44" s="50" t="s">
        <v>220</v>
      </c>
      <c r="T44" s="50" t="s">
        <v>140</v>
      </c>
      <c r="U44" s="50" t="s">
        <v>221</v>
      </c>
      <c r="V44" s="50" t="s">
        <v>13</v>
      </c>
      <c r="W44" s="50" t="s">
        <v>136</v>
      </c>
      <c r="X44" s="50">
        <v>3</v>
      </c>
    </row>
    <row r="45" spans="1:24" ht="15.75" customHeight="1">
      <c r="O45" s="50" t="s">
        <v>222</v>
      </c>
      <c r="P45" s="50" t="s">
        <v>223</v>
      </c>
      <c r="Q45" s="50" t="s">
        <v>22</v>
      </c>
      <c r="R45" s="50" t="s">
        <v>224</v>
      </c>
      <c r="S45" s="50" t="s">
        <v>225</v>
      </c>
      <c r="T45" s="50" t="s">
        <v>140</v>
      </c>
      <c r="U45" s="50" t="s">
        <v>226</v>
      </c>
      <c r="V45" s="50" t="s">
        <v>13</v>
      </c>
      <c r="W45" s="50" t="s">
        <v>136</v>
      </c>
      <c r="X45" s="50">
        <v>2</v>
      </c>
    </row>
    <row r="46" spans="1:24" ht="15.75" customHeight="1"/>
    <row r="47" spans="1:24" ht="15.75" customHeight="1"/>
    <row r="48" spans="1:24"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phoneticPr fontId="1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G986"/>
  <sheetViews>
    <sheetView tabSelected="1" topLeftCell="A7" zoomScale="82" zoomScaleNormal="82" workbookViewId="0">
      <selection activeCell="P61" sqref="P61"/>
    </sheetView>
  </sheetViews>
  <sheetFormatPr baseColWidth="10" defaultColWidth="12.5546875" defaultRowHeight="15" customHeight="1"/>
  <cols>
    <col min="1" max="1" width="12.44140625" customWidth="1"/>
    <col min="2" max="2" width="24.44140625" customWidth="1"/>
    <col min="3" max="3" width="12.44140625" customWidth="1"/>
    <col min="4" max="4" width="6.44140625" customWidth="1"/>
    <col min="5" max="5" width="6.5546875" customWidth="1"/>
    <col min="6" max="7" width="7" customWidth="1"/>
    <col min="8" max="8" width="6.5546875" customWidth="1"/>
    <col min="9" max="9" width="6.33203125" customWidth="1"/>
    <col min="10" max="10" width="7" style="69" customWidth="1"/>
    <col min="11" max="11" width="6.77734375" customWidth="1"/>
    <col min="12" max="12" width="7.109375" customWidth="1"/>
    <col min="13" max="13" width="6.44140625" customWidth="1"/>
    <col min="14" max="14" width="6" customWidth="1"/>
    <col min="15" max="15" width="5.77734375" style="3" customWidth="1"/>
    <col min="16" max="16" width="5.88671875" style="68" customWidth="1"/>
    <col min="17" max="17" width="5.77734375" style="3" customWidth="1"/>
    <col min="18" max="18" width="6.21875" customWidth="1"/>
    <col min="19" max="19" width="7.109375" customWidth="1"/>
    <col min="20" max="21" width="6.33203125" customWidth="1"/>
    <col min="22" max="22" width="14.21875" customWidth="1"/>
    <col min="23" max="38" width="12.44140625" customWidth="1"/>
  </cols>
  <sheetData>
    <row r="1" spans="1:23" ht="15.75" customHeight="1">
      <c r="B1" s="3"/>
      <c r="C1" s="3"/>
      <c r="D1" s="3"/>
      <c r="E1" s="3"/>
      <c r="F1" s="3"/>
      <c r="G1" s="3"/>
      <c r="H1" s="3"/>
      <c r="I1" s="3"/>
      <c r="J1" s="68"/>
      <c r="K1" s="3"/>
      <c r="L1" s="3"/>
      <c r="M1" s="3"/>
      <c r="N1" s="3"/>
      <c r="R1" s="3"/>
      <c r="S1" s="3"/>
      <c r="T1" s="3"/>
      <c r="U1" s="3"/>
    </row>
    <row r="2" spans="1:23" ht="15.75" customHeight="1">
      <c r="A2" s="3"/>
      <c r="B2" s="1" t="s">
        <v>0</v>
      </c>
      <c r="C2" s="1" t="s">
        <v>127</v>
      </c>
      <c r="D2" s="41" t="s">
        <v>273</v>
      </c>
      <c r="E2" s="41" t="s">
        <v>274</v>
      </c>
      <c r="F2" s="41" t="s">
        <v>275</v>
      </c>
      <c r="G2" s="41" t="s">
        <v>276</v>
      </c>
      <c r="H2" s="41" t="s">
        <v>277</v>
      </c>
      <c r="I2" s="80" t="s">
        <v>278</v>
      </c>
      <c r="J2" s="74" t="s">
        <v>279</v>
      </c>
      <c r="K2" s="41" t="s">
        <v>280</v>
      </c>
      <c r="L2" s="41" t="s">
        <v>272</v>
      </c>
      <c r="M2" s="41" t="s">
        <v>271</v>
      </c>
      <c r="N2" s="41" t="s">
        <v>270</v>
      </c>
      <c r="O2" s="80" t="s">
        <v>269</v>
      </c>
      <c r="P2" s="85" t="s">
        <v>158</v>
      </c>
      <c r="Q2" s="76" t="s">
        <v>128</v>
      </c>
      <c r="R2" s="40" t="s">
        <v>129</v>
      </c>
      <c r="S2" s="40" t="s">
        <v>130</v>
      </c>
      <c r="T2" s="40" t="s">
        <v>131</v>
      </c>
      <c r="U2" s="43" t="s">
        <v>132</v>
      </c>
      <c r="V2" s="44" t="s">
        <v>133</v>
      </c>
      <c r="W2" s="3"/>
    </row>
    <row r="3" spans="1:23" ht="15.75" customHeight="1">
      <c r="A3" s="3"/>
      <c r="B3" s="15" t="s">
        <v>103</v>
      </c>
      <c r="C3" s="81">
        <v>2</v>
      </c>
      <c r="D3" s="47">
        <v>2</v>
      </c>
      <c r="E3" s="47">
        <v>0</v>
      </c>
      <c r="F3" s="47">
        <v>0</v>
      </c>
      <c r="G3" s="47">
        <v>0</v>
      </c>
      <c r="H3" s="47">
        <v>0</v>
      </c>
      <c r="I3" s="47">
        <v>0</v>
      </c>
      <c r="J3" s="67">
        <v>0</v>
      </c>
      <c r="K3" s="67">
        <v>0</v>
      </c>
      <c r="L3" s="67">
        <v>0</v>
      </c>
      <c r="M3" s="67">
        <v>0</v>
      </c>
      <c r="N3" s="67">
        <v>0</v>
      </c>
      <c r="O3" s="67">
        <v>0</v>
      </c>
      <c r="P3" s="67">
        <v>0</v>
      </c>
      <c r="Q3" s="67">
        <v>0</v>
      </c>
      <c r="R3" s="67">
        <v>0</v>
      </c>
      <c r="S3" s="67">
        <v>0</v>
      </c>
      <c r="T3" s="67">
        <v>0</v>
      </c>
      <c r="U3" s="67">
        <v>0</v>
      </c>
      <c r="V3" s="42">
        <f>SUM(D3:U3)</f>
        <v>2</v>
      </c>
      <c r="W3" s="3"/>
    </row>
    <row r="4" spans="1:23" ht="15.75" customHeight="1">
      <c r="A4" s="3"/>
      <c r="B4" s="2" t="s">
        <v>104</v>
      </c>
      <c r="C4" s="81">
        <v>2</v>
      </c>
      <c r="D4" s="47">
        <v>1</v>
      </c>
      <c r="E4" s="47">
        <v>1</v>
      </c>
      <c r="F4" s="47">
        <v>0</v>
      </c>
      <c r="G4" s="47">
        <v>0</v>
      </c>
      <c r="H4" s="47">
        <v>0</v>
      </c>
      <c r="I4" s="47">
        <v>0</v>
      </c>
      <c r="J4" s="67">
        <v>0</v>
      </c>
      <c r="K4" s="67">
        <v>0</v>
      </c>
      <c r="L4" s="67">
        <v>0</v>
      </c>
      <c r="M4" s="67">
        <v>0</v>
      </c>
      <c r="N4" s="67">
        <v>0</v>
      </c>
      <c r="O4" s="67">
        <v>0</v>
      </c>
      <c r="P4" s="67">
        <v>0</v>
      </c>
      <c r="Q4" s="67">
        <v>0</v>
      </c>
      <c r="R4" s="67">
        <v>0</v>
      </c>
      <c r="S4" s="67">
        <v>0</v>
      </c>
      <c r="T4" s="67">
        <v>0</v>
      </c>
      <c r="U4" s="47">
        <v>0</v>
      </c>
      <c r="V4" s="42">
        <f>SUM(D4:U4)</f>
        <v>2</v>
      </c>
      <c r="W4" s="3"/>
    </row>
    <row r="5" spans="1:23" ht="15.75" customHeight="1">
      <c r="A5" s="3"/>
      <c r="B5" s="2" t="s">
        <v>105</v>
      </c>
      <c r="C5" s="81">
        <v>2</v>
      </c>
      <c r="D5" s="47">
        <v>0</v>
      </c>
      <c r="E5" s="47">
        <v>2</v>
      </c>
      <c r="F5" s="47">
        <v>1</v>
      </c>
      <c r="G5" s="47">
        <v>0</v>
      </c>
      <c r="H5" s="47">
        <v>0</v>
      </c>
      <c r="I5" s="47">
        <v>0</v>
      </c>
      <c r="J5" s="67">
        <v>0</v>
      </c>
      <c r="K5" s="67">
        <v>0</v>
      </c>
      <c r="L5" s="67">
        <v>0</v>
      </c>
      <c r="M5" s="67">
        <v>0</v>
      </c>
      <c r="N5" s="67">
        <v>0</v>
      </c>
      <c r="O5" s="67">
        <v>0</v>
      </c>
      <c r="P5" s="67">
        <v>0</v>
      </c>
      <c r="Q5" s="67">
        <v>0</v>
      </c>
      <c r="R5" s="67">
        <v>0</v>
      </c>
      <c r="S5" s="67">
        <v>0</v>
      </c>
      <c r="T5" s="67">
        <v>0</v>
      </c>
      <c r="U5" s="67">
        <v>0</v>
      </c>
      <c r="V5" s="42">
        <f>SUM(D5:U5)</f>
        <v>3</v>
      </c>
      <c r="W5" s="3"/>
    </row>
    <row r="6" spans="1:23" ht="15.75" customHeight="1">
      <c r="A6" s="3"/>
      <c r="B6" s="2" t="s">
        <v>106</v>
      </c>
      <c r="C6" s="81">
        <v>2</v>
      </c>
      <c r="D6" s="47">
        <v>0</v>
      </c>
      <c r="E6" s="47">
        <v>0</v>
      </c>
      <c r="F6" s="47">
        <v>2</v>
      </c>
      <c r="G6" s="47">
        <v>0</v>
      </c>
      <c r="H6" s="47">
        <v>0</v>
      </c>
      <c r="I6" s="47">
        <v>0</v>
      </c>
      <c r="J6" s="67">
        <v>0</v>
      </c>
      <c r="K6" s="67">
        <v>0</v>
      </c>
      <c r="L6" s="67">
        <v>0</v>
      </c>
      <c r="M6" s="67">
        <v>0</v>
      </c>
      <c r="N6" s="67">
        <v>0</v>
      </c>
      <c r="O6" s="67">
        <v>0</v>
      </c>
      <c r="P6" s="67">
        <v>0</v>
      </c>
      <c r="Q6" s="67">
        <v>0</v>
      </c>
      <c r="R6" s="67">
        <v>0</v>
      </c>
      <c r="S6" s="67">
        <v>0</v>
      </c>
      <c r="T6" s="67">
        <v>0</v>
      </c>
      <c r="U6" s="67">
        <v>0</v>
      </c>
      <c r="V6" s="42">
        <f>SUM(D6:U6)</f>
        <v>2</v>
      </c>
      <c r="W6" s="3"/>
    </row>
    <row r="7" spans="1:23" ht="15.75" customHeight="1">
      <c r="A7" s="3"/>
      <c r="B7" s="2" t="s">
        <v>108</v>
      </c>
      <c r="C7" s="81">
        <v>2</v>
      </c>
      <c r="D7" s="47">
        <v>0</v>
      </c>
      <c r="E7" s="47">
        <v>0</v>
      </c>
      <c r="F7" s="47">
        <v>1</v>
      </c>
      <c r="G7" s="47">
        <v>1</v>
      </c>
      <c r="H7" s="47">
        <v>0</v>
      </c>
      <c r="I7" s="47">
        <v>0</v>
      </c>
      <c r="J7" s="67">
        <v>0</v>
      </c>
      <c r="K7" s="67">
        <v>0</v>
      </c>
      <c r="L7" s="67">
        <v>0</v>
      </c>
      <c r="M7" s="67">
        <v>0</v>
      </c>
      <c r="N7" s="67">
        <v>0</v>
      </c>
      <c r="O7" s="67">
        <v>0</v>
      </c>
      <c r="P7" s="67">
        <v>0</v>
      </c>
      <c r="Q7" s="67">
        <v>0</v>
      </c>
      <c r="R7" s="67">
        <v>0</v>
      </c>
      <c r="S7" s="67">
        <v>0</v>
      </c>
      <c r="T7" s="67">
        <v>0</v>
      </c>
      <c r="U7" s="67">
        <v>0</v>
      </c>
      <c r="V7" s="42">
        <f>SUM(D7:U7)</f>
        <v>2</v>
      </c>
      <c r="W7" s="3"/>
    </row>
    <row r="8" spans="1:23" ht="15.75" customHeight="1">
      <c r="A8" s="3"/>
      <c r="B8" s="2" t="s">
        <v>110</v>
      </c>
      <c r="C8" s="81">
        <v>2</v>
      </c>
      <c r="D8" s="47">
        <v>0</v>
      </c>
      <c r="E8" s="47">
        <v>0</v>
      </c>
      <c r="F8" s="47">
        <v>0</v>
      </c>
      <c r="G8" s="47">
        <v>1</v>
      </c>
      <c r="H8" s="47">
        <v>0</v>
      </c>
      <c r="I8" s="47">
        <v>0</v>
      </c>
      <c r="J8" s="67">
        <v>0</v>
      </c>
      <c r="K8" s="67">
        <v>0</v>
      </c>
      <c r="L8" s="67">
        <v>0</v>
      </c>
      <c r="M8" s="67">
        <v>0</v>
      </c>
      <c r="N8" s="67">
        <v>0</v>
      </c>
      <c r="O8" s="67">
        <v>0</v>
      </c>
      <c r="P8" s="67">
        <v>0</v>
      </c>
      <c r="Q8" s="67">
        <v>0</v>
      </c>
      <c r="R8" s="67">
        <v>0</v>
      </c>
      <c r="S8" s="67">
        <v>0</v>
      </c>
      <c r="T8" s="67">
        <v>0</v>
      </c>
      <c r="U8" s="67">
        <v>0</v>
      </c>
      <c r="V8" s="42">
        <f>SUM(D8:U8)</f>
        <v>1</v>
      </c>
      <c r="W8" s="3"/>
    </row>
    <row r="9" spans="1:23" ht="15.75" customHeight="1">
      <c r="A9" s="3"/>
      <c r="B9" s="2" t="s">
        <v>111</v>
      </c>
      <c r="C9" s="81">
        <v>2</v>
      </c>
      <c r="D9" s="47">
        <v>0</v>
      </c>
      <c r="E9" s="47">
        <v>0</v>
      </c>
      <c r="F9" s="47">
        <v>0</v>
      </c>
      <c r="G9" s="47">
        <v>1</v>
      </c>
      <c r="H9" s="47">
        <v>2</v>
      </c>
      <c r="I9" s="47">
        <v>0</v>
      </c>
      <c r="J9" s="67">
        <v>0</v>
      </c>
      <c r="K9" s="67">
        <v>0</v>
      </c>
      <c r="L9" s="67">
        <v>0</v>
      </c>
      <c r="M9" s="67">
        <v>0</v>
      </c>
      <c r="N9" s="67">
        <v>0</v>
      </c>
      <c r="O9" s="67">
        <v>0</v>
      </c>
      <c r="P9" s="67">
        <v>0</v>
      </c>
      <c r="Q9" s="67">
        <v>0</v>
      </c>
      <c r="R9" s="67">
        <v>0</v>
      </c>
      <c r="S9" s="67">
        <v>0</v>
      </c>
      <c r="T9" s="67">
        <v>0</v>
      </c>
      <c r="U9" s="67">
        <v>0</v>
      </c>
      <c r="V9" s="42">
        <f>SUM(D9:U9)</f>
        <v>3</v>
      </c>
      <c r="W9" s="3"/>
    </row>
    <row r="10" spans="1:23" ht="15.75" customHeight="1">
      <c r="A10" s="3"/>
      <c r="B10" s="2" t="s">
        <v>113</v>
      </c>
      <c r="C10" s="81">
        <v>2</v>
      </c>
      <c r="D10" s="47">
        <v>0</v>
      </c>
      <c r="E10" s="47">
        <v>0</v>
      </c>
      <c r="F10" s="47">
        <v>0</v>
      </c>
      <c r="G10" s="47">
        <v>0</v>
      </c>
      <c r="H10" s="47">
        <v>1</v>
      </c>
      <c r="I10" s="47">
        <v>1</v>
      </c>
      <c r="J10" s="67">
        <v>0</v>
      </c>
      <c r="K10" s="67">
        <v>0</v>
      </c>
      <c r="L10" s="67">
        <v>0</v>
      </c>
      <c r="M10" s="67">
        <v>0</v>
      </c>
      <c r="N10" s="67">
        <v>0</v>
      </c>
      <c r="O10" s="67">
        <v>0</v>
      </c>
      <c r="P10" s="67">
        <v>0</v>
      </c>
      <c r="Q10" s="67">
        <v>0</v>
      </c>
      <c r="R10" s="67">
        <v>0</v>
      </c>
      <c r="S10" s="67">
        <v>0</v>
      </c>
      <c r="T10" s="67">
        <v>0</v>
      </c>
      <c r="U10" s="67">
        <v>0</v>
      </c>
      <c r="V10" s="42">
        <f>SUM(D10:U10)</f>
        <v>2</v>
      </c>
      <c r="W10" s="3"/>
    </row>
    <row r="11" spans="1:23" ht="15.75" customHeight="1">
      <c r="A11" s="3"/>
      <c r="B11" s="2" t="s">
        <v>114</v>
      </c>
      <c r="C11" s="81">
        <v>2</v>
      </c>
      <c r="D11" s="47">
        <v>0</v>
      </c>
      <c r="E11" s="47">
        <v>2</v>
      </c>
      <c r="F11" s="47">
        <v>0</v>
      </c>
      <c r="G11" s="47">
        <v>0</v>
      </c>
      <c r="H11" s="47">
        <v>0</v>
      </c>
      <c r="I11" s="47">
        <v>0</v>
      </c>
      <c r="J11" s="67">
        <v>0</v>
      </c>
      <c r="K11" s="67">
        <v>0</v>
      </c>
      <c r="L11" s="67">
        <v>0</v>
      </c>
      <c r="M11" s="67">
        <v>0</v>
      </c>
      <c r="N11" s="67">
        <v>0</v>
      </c>
      <c r="O11" s="67">
        <v>0</v>
      </c>
      <c r="P11" s="67">
        <v>0</v>
      </c>
      <c r="Q11" s="67">
        <v>0</v>
      </c>
      <c r="R11" s="67">
        <v>0</v>
      </c>
      <c r="S11" s="67">
        <v>0</v>
      </c>
      <c r="T11" s="67">
        <v>0</v>
      </c>
      <c r="U11" s="67">
        <v>0</v>
      </c>
      <c r="V11" s="42">
        <f>SUM(D11:U11)</f>
        <v>2</v>
      </c>
      <c r="W11" s="3"/>
    </row>
    <row r="12" spans="1:23" ht="15.75" customHeight="1">
      <c r="A12" s="3"/>
      <c r="B12" s="2" t="s">
        <v>116</v>
      </c>
      <c r="C12" s="81">
        <v>2</v>
      </c>
      <c r="D12" s="47">
        <v>0</v>
      </c>
      <c r="E12" s="47">
        <v>0</v>
      </c>
      <c r="F12" s="47">
        <v>1</v>
      </c>
      <c r="G12" s="47">
        <v>1</v>
      </c>
      <c r="H12" s="47">
        <v>0</v>
      </c>
      <c r="I12" s="47">
        <v>0</v>
      </c>
      <c r="J12" s="67">
        <v>0</v>
      </c>
      <c r="K12" s="67">
        <v>0</v>
      </c>
      <c r="L12" s="67">
        <v>0</v>
      </c>
      <c r="M12" s="67">
        <v>0</v>
      </c>
      <c r="N12" s="67">
        <v>0</v>
      </c>
      <c r="O12" s="67">
        <v>0</v>
      </c>
      <c r="P12" s="67">
        <v>0</v>
      </c>
      <c r="Q12" s="67">
        <v>0</v>
      </c>
      <c r="R12" s="67">
        <v>0</v>
      </c>
      <c r="S12" s="67">
        <v>0</v>
      </c>
      <c r="T12" s="67">
        <v>0</v>
      </c>
      <c r="U12" s="47">
        <v>0</v>
      </c>
      <c r="V12" s="42">
        <f>SUM(D12:U12)</f>
        <v>2</v>
      </c>
      <c r="W12" s="3"/>
    </row>
    <row r="13" spans="1:23" ht="15.75" customHeight="1">
      <c r="A13" s="3"/>
      <c r="B13" s="2" t="s">
        <v>117</v>
      </c>
      <c r="C13" s="81">
        <v>2</v>
      </c>
      <c r="D13" s="47">
        <v>0</v>
      </c>
      <c r="E13" s="47">
        <v>0</v>
      </c>
      <c r="F13" s="47">
        <v>0</v>
      </c>
      <c r="G13" s="47">
        <v>1</v>
      </c>
      <c r="H13" s="47">
        <v>1</v>
      </c>
      <c r="I13" s="47">
        <v>0</v>
      </c>
      <c r="J13" s="67">
        <v>0</v>
      </c>
      <c r="K13" s="67">
        <v>0</v>
      </c>
      <c r="L13" s="67">
        <v>0</v>
      </c>
      <c r="M13" s="67">
        <v>0</v>
      </c>
      <c r="N13" s="67">
        <v>0</v>
      </c>
      <c r="O13" s="67">
        <v>0</v>
      </c>
      <c r="P13" s="67">
        <v>0</v>
      </c>
      <c r="Q13" s="67">
        <v>0</v>
      </c>
      <c r="R13" s="67">
        <v>0</v>
      </c>
      <c r="S13" s="67">
        <v>0</v>
      </c>
      <c r="T13" s="67">
        <v>0</v>
      </c>
      <c r="U13" s="67">
        <v>0</v>
      </c>
      <c r="V13" s="42">
        <f>SUM(D13:U13)</f>
        <v>2</v>
      </c>
      <c r="W13" s="3"/>
    </row>
    <row r="14" spans="1:23" ht="15.75" customHeight="1">
      <c r="A14" s="3"/>
      <c r="B14" s="2" t="s">
        <v>118</v>
      </c>
      <c r="C14" s="81">
        <v>2</v>
      </c>
      <c r="D14" s="47">
        <v>0</v>
      </c>
      <c r="E14" s="47">
        <v>0</v>
      </c>
      <c r="F14" s="47">
        <v>0</v>
      </c>
      <c r="G14" s="47">
        <v>0</v>
      </c>
      <c r="H14" s="47">
        <v>2</v>
      </c>
      <c r="I14" s="47">
        <v>1</v>
      </c>
      <c r="J14" s="67">
        <v>0</v>
      </c>
      <c r="K14" s="67">
        <v>0</v>
      </c>
      <c r="L14" s="67">
        <v>0</v>
      </c>
      <c r="M14" s="67">
        <v>0</v>
      </c>
      <c r="N14" s="67">
        <v>0</v>
      </c>
      <c r="O14" s="67">
        <v>0</v>
      </c>
      <c r="P14" s="67">
        <v>0</v>
      </c>
      <c r="Q14" s="67">
        <v>0</v>
      </c>
      <c r="R14" s="67">
        <v>0</v>
      </c>
      <c r="S14" s="67">
        <v>0</v>
      </c>
      <c r="T14" s="67">
        <v>0</v>
      </c>
      <c r="U14" s="47">
        <v>0</v>
      </c>
      <c r="V14" s="42">
        <f>SUM(D14:U14)</f>
        <v>3</v>
      </c>
      <c r="W14" s="3"/>
    </row>
    <row r="15" spans="1:23" ht="15.75" customHeight="1">
      <c r="A15" s="3"/>
      <c r="B15" s="2" t="s">
        <v>119</v>
      </c>
      <c r="C15" s="81">
        <v>2</v>
      </c>
      <c r="D15" s="47">
        <v>0</v>
      </c>
      <c r="E15" s="47">
        <v>0</v>
      </c>
      <c r="F15" s="47">
        <v>0</v>
      </c>
      <c r="G15" s="47">
        <v>0</v>
      </c>
      <c r="H15" s="47">
        <v>0</v>
      </c>
      <c r="I15" s="47">
        <v>1</v>
      </c>
      <c r="J15" s="67">
        <v>0</v>
      </c>
      <c r="K15" s="67">
        <v>0</v>
      </c>
      <c r="L15" s="67">
        <v>0</v>
      </c>
      <c r="M15" s="67">
        <v>0</v>
      </c>
      <c r="N15" s="67">
        <v>0</v>
      </c>
      <c r="O15" s="67">
        <v>0</v>
      </c>
      <c r="P15" s="67">
        <v>0</v>
      </c>
      <c r="Q15" s="67">
        <v>0</v>
      </c>
      <c r="R15" s="67">
        <v>0</v>
      </c>
      <c r="S15" s="67">
        <v>0</v>
      </c>
      <c r="T15" s="67">
        <v>0</v>
      </c>
      <c r="U15" s="67">
        <v>0</v>
      </c>
      <c r="V15" s="42">
        <f>SUM(D15:U15)</f>
        <v>1</v>
      </c>
      <c r="W15" s="3"/>
    </row>
    <row r="16" spans="1:23" ht="15.75" customHeight="1">
      <c r="A16" s="3"/>
      <c r="B16" s="2" t="s">
        <v>120</v>
      </c>
      <c r="C16" s="81">
        <v>1</v>
      </c>
      <c r="D16" s="47">
        <v>0</v>
      </c>
      <c r="E16" s="47">
        <v>0</v>
      </c>
      <c r="F16" s="47">
        <v>0</v>
      </c>
      <c r="G16" s="47">
        <v>0</v>
      </c>
      <c r="H16" s="47">
        <v>0</v>
      </c>
      <c r="I16" s="47">
        <v>1</v>
      </c>
      <c r="J16" s="67">
        <v>0</v>
      </c>
      <c r="K16" s="67">
        <v>0</v>
      </c>
      <c r="L16" s="67">
        <v>0</v>
      </c>
      <c r="M16" s="67">
        <v>0</v>
      </c>
      <c r="N16" s="67">
        <v>0</v>
      </c>
      <c r="O16" s="67">
        <v>0</v>
      </c>
      <c r="P16" s="67">
        <v>0</v>
      </c>
      <c r="Q16" s="67">
        <v>0</v>
      </c>
      <c r="R16" s="67">
        <v>0</v>
      </c>
      <c r="S16" s="67">
        <v>0</v>
      </c>
      <c r="T16" s="67">
        <v>0</v>
      </c>
      <c r="U16" s="67">
        <v>0</v>
      </c>
      <c r="V16" s="42">
        <f>SUM(D16:U16)</f>
        <v>1</v>
      </c>
      <c r="W16" s="3"/>
    </row>
    <row r="17" spans="1:33" ht="15.75" customHeight="1">
      <c r="A17" s="3"/>
      <c r="B17" s="2" t="s">
        <v>121</v>
      </c>
      <c r="C17" s="81">
        <v>1</v>
      </c>
      <c r="D17" s="47">
        <v>0</v>
      </c>
      <c r="E17" s="47">
        <v>0</v>
      </c>
      <c r="F17" s="47">
        <v>0</v>
      </c>
      <c r="G17" s="47">
        <v>0</v>
      </c>
      <c r="H17" s="47">
        <v>0</v>
      </c>
      <c r="I17" s="47">
        <v>1</v>
      </c>
      <c r="J17" s="67">
        <v>0</v>
      </c>
      <c r="K17" s="67">
        <v>0</v>
      </c>
      <c r="L17" s="67">
        <v>0</v>
      </c>
      <c r="M17" s="67">
        <v>0</v>
      </c>
      <c r="N17" s="67">
        <v>0</v>
      </c>
      <c r="O17" s="67">
        <v>0</v>
      </c>
      <c r="P17" s="67">
        <v>0</v>
      </c>
      <c r="Q17" s="67">
        <v>0</v>
      </c>
      <c r="R17" s="67">
        <v>0</v>
      </c>
      <c r="S17" s="67">
        <v>0</v>
      </c>
      <c r="T17" s="67">
        <v>0</v>
      </c>
      <c r="U17" s="67">
        <v>0</v>
      </c>
      <c r="V17" s="42">
        <f>SUM(D17:U17)</f>
        <v>1</v>
      </c>
      <c r="W17" s="3"/>
    </row>
    <row r="18" spans="1:33" ht="15.75" customHeight="1">
      <c r="A18" s="3"/>
      <c r="B18" s="2" t="s">
        <v>122</v>
      </c>
      <c r="C18" s="81">
        <v>2</v>
      </c>
      <c r="D18" s="47">
        <v>0</v>
      </c>
      <c r="E18" s="47">
        <v>1</v>
      </c>
      <c r="F18" s="47">
        <v>1</v>
      </c>
      <c r="G18" s="47">
        <v>0</v>
      </c>
      <c r="H18" s="47">
        <v>0</v>
      </c>
      <c r="I18" s="47">
        <v>0</v>
      </c>
      <c r="J18" s="67">
        <v>0</v>
      </c>
      <c r="K18" s="67">
        <v>0</v>
      </c>
      <c r="L18" s="67">
        <v>0</v>
      </c>
      <c r="M18" s="67">
        <v>0</v>
      </c>
      <c r="N18" s="67">
        <v>0</v>
      </c>
      <c r="O18" s="67">
        <v>0</v>
      </c>
      <c r="P18" s="67">
        <v>0</v>
      </c>
      <c r="Q18" s="67">
        <v>0</v>
      </c>
      <c r="R18" s="67">
        <v>0</v>
      </c>
      <c r="S18" s="67">
        <v>0</v>
      </c>
      <c r="T18" s="67">
        <v>0</v>
      </c>
      <c r="U18" s="67">
        <v>0</v>
      </c>
      <c r="V18" s="42">
        <f>SUM(D18:U18)</f>
        <v>2</v>
      </c>
      <c r="W18" s="3"/>
    </row>
    <row r="19" spans="1:33" ht="15.75" customHeight="1">
      <c r="A19" s="3"/>
      <c r="B19" s="2" t="s">
        <v>123</v>
      </c>
      <c r="C19" s="81">
        <v>2</v>
      </c>
      <c r="D19" s="47">
        <v>0</v>
      </c>
      <c r="E19" s="47">
        <v>0</v>
      </c>
      <c r="F19" s="47">
        <v>0</v>
      </c>
      <c r="G19" s="47">
        <v>1</v>
      </c>
      <c r="H19" s="47">
        <v>0</v>
      </c>
      <c r="I19" s="47">
        <v>0</v>
      </c>
      <c r="J19" s="67">
        <v>0</v>
      </c>
      <c r="K19" s="67">
        <v>0</v>
      </c>
      <c r="L19" s="67">
        <v>0</v>
      </c>
      <c r="M19" s="67">
        <v>0</v>
      </c>
      <c r="N19" s="67">
        <v>0</v>
      </c>
      <c r="O19" s="67">
        <v>0</v>
      </c>
      <c r="P19" s="67">
        <v>0</v>
      </c>
      <c r="Q19" s="67">
        <v>0</v>
      </c>
      <c r="R19" s="67">
        <v>0</v>
      </c>
      <c r="S19" s="67">
        <v>0</v>
      </c>
      <c r="T19" s="67">
        <v>0</v>
      </c>
      <c r="U19" s="67">
        <v>0</v>
      </c>
      <c r="V19" s="42">
        <f>SUM(D19:U19)</f>
        <v>1</v>
      </c>
      <c r="W19" s="3"/>
    </row>
    <row r="20" spans="1:33" ht="15.75" customHeight="1">
      <c r="A20" s="3"/>
      <c r="B20" s="2" t="s">
        <v>124</v>
      </c>
      <c r="C20" s="81">
        <v>2</v>
      </c>
      <c r="D20" s="47">
        <v>0</v>
      </c>
      <c r="E20" s="47">
        <v>0</v>
      </c>
      <c r="F20" s="47">
        <v>0</v>
      </c>
      <c r="G20" s="47">
        <v>1</v>
      </c>
      <c r="H20" s="47">
        <v>2</v>
      </c>
      <c r="I20" s="47">
        <v>0</v>
      </c>
      <c r="J20" s="67">
        <v>0</v>
      </c>
      <c r="K20" s="67">
        <v>0</v>
      </c>
      <c r="L20" s="67">
        <v>0</v>
      </c>
      <c r="M20" s="67">
        <v>0</v>
      </c>
      <c r="N20" s="67">
        <v>0</v>
      </c>
      <c r="O20" s="67">
        <v>0</v>
      </c>
      <c r="P20" s="67">
        <v>0</v>
      </c>
      <c r="Q20" s="67">
        <v>0</v>
      </c>
      <c r="R20" s="67">
        <v>0</v>
      </c>
      <c r="S20" s="67">
        <v>0</v>
      </c>
      <c r="T20" s="67">
        <v>0</v>
      </c>
      <c r="U20" s="67">
        <v>0</v>
      </c>
      <c r="V20" s="42">
        <f>SUM(D20:U20)</f>
        <v>3</v>
      </c>
      <c r="W20" s="3"/>
    </row>
    <row r="21" spans="1:33" ht="15.75" customHeight="1">
      <c r="A21" s="64"/>
      <c r="B21" s="62" t="s">
        <v>125</v>
      </c>
      <c r="C21" s="81">
        <v>1</v>
      </c>
      <c r="D21" s="47">
        <v>0</v>
      </c>
      <c r="E21" s="47">
        <v>0</v>
      </c>
      <c r="F21" s="47">
        <v>0</v>
      </c>
      <c r="G21" s="47">
        <v>0</v>
      </c>
      <c r="H21" s="47">
        <v>1</v>
      </c>
      <c r="I21" s="47">
        <v>0</v>
      </c>
      <c r="J21" s="67">
        <v>0</v>
      </c>
      <c r="K21" s="67">
        <v>0</v>
      </c>
      <c r="L21" s="67">
        <v>0</v>
      </c>
      <c r="M21" s="67">
        <v>0</v>
      </c>
      <c r="N21" s="67">
        <v>0</v>
      </c>
      <c r="O21" s="67">
        <v>0</v>
      </c>
      <c r="P21" s="67">
        <v>0</v>
      </c>
      <c r="Q21" s="67">
        <v>0</v>
      </c>
      <c r="R21" s="67">
        <v>0</v>
      </c>
      <c r="S21" s="67">
        <v>0</v>
      </c>
      <c r="T21" s="67">
        <v>0</v>
      </c>
      <c r="U21" s="67">
        <v>0</v>
      </c>
      <c r="V21" s="42">
        <f>SUM(D21:U21)</f>
        <v>1</v>
      </c>
      <c r="W21" s="3"/>
      <c r="Y21" s="21" t="s">
        <v>112</v>
      </c>
    </row>
    <row r="22" spans="1:33" s="69" customFormat="1" ht="15.75" customHeight="1">
      <c r="A22" s="65"/>
      <c r="B22" s="66" t="s">
        <v>126</v>
      </c>
      <c r="C22" s="81">
        <v>1</v>
      </c>
      <c r="D22" s="67">
        <v>0</v>
      </c>
      <c r="E22" s="67">
        <v>0</v>
      </c>
      <c r="F22" s="67">
        <v>0</v>
      </c>
      <c r="G22" s="67">
        <v>0</v>
      </c>
      <c r="H22" s="67">
        <v>1</v>
      </c>
      <c r="I22" s="67">
        <v>0</v>
      </c>
      <c r="J22" s="67">
        <v>0</v>
      </c>
      <c r="K22" s="67">
        <v>0</v>
      </c>
      <c r="L22" s="67">
        <v>0</v>
      </c>
      <c r="M22" s="67">
        <v>0</v>
      </c>
      <c r="N22" s="67">
        <v>0</v>
      </c>
      <c r="O22" s="67">
        <v>0</v>
      </c>
      <c r="P22" s="67">
        <v>0</v>
      </c>
      <c r="Q22" s="67">
        <v>0</v>
      </c>
      <c r="R22" s="67">
        <v>0</v>
      </c>
      <c r="S22" s="67">
        <v>0</v>
      </c>
      <c r="T22" s="67">
        <v>0</v>
      </c>
      <c r="U22" s="67">
        <v>0</v>
      </c>
      <c r="V22" s="42">
        <f>SUM(D22:U22)</f>
        <v>1</v>
      </c>
      <c r="W22" s="68"/>
      <c r="Y22" s="70" t="s">
        <v>112</v>
      </c>
    </row>
    <row r="23" spans="1:33" s="69" customFormat="1" ht="15.75" customHeight="1">
      <c r="A23" s="65"/>
      <c r="B23" s="73" t="s">
        <v>164</v>
      </c>
      <c r="C23" s="81">
        <v>2</v>
      </c>
      <c r="D23" s="67">
        <v>0</v>
      </c>
      <c r="E23" s="67">
        <v>0</v>
      </c>
      <c r="F23" s="67">
        <v>0</v>
      </c>
      <c r="G23" s="67">
        <v>0</v>
      </c>
      <c r="H23" s="67">
        <v>0</v>
      </c>
      <c r="I23" s="67">
        <v>0</v>
      </c>
      <c r="J23" s="67">
        <v>1</v>
      </c>
      <c r="K23" s="67">
        <v>1</v>
      </c>
      <c r="L23" s="67">
        <v>0</v>
      </c>
      <c r="M23" s="67">
        <v>0</v>
      </c>
      <c r="N23" s="67">
        <v>0</v>
      </c>
      <c r="O23" s="83">
        <v>0</v>
      </c>
      <c r="P23" s="67">
        <v>0</v>
      </c>
      <c r="Q23" s="78">
        <v>0</v>
      </c>
      <c r="R23" s="67">
        <v>0</v>
      </c>
      <c r="S23" s="67">
        <v>0</v>
      </c>
      <c r="T23" s="67">
        <v>0</v>
      </c>
      <c r="U23" s="67">
        <v>0</v>
      </c>
      <c r="V23" s="42">
        <f>SUM(D23:U23)</f>
        <v>2</v>
      </c>
      <c r="AA23" s="70" t="s">
        <v>112</v>
      </c>
    </row>
    <row r="24" spans="1:33" ht="15.75" customHeight="1">
      <c r="A24" s="65"/>
      <c r="B24" s="63" t="s">
        <v>169</v>
      </c>
      <c r="C24" s="81">
        <v>2</v>
      </c>
      <c r="D24" s="47">
        <v>0</v>
      </c>
      <c r="E24" s="47">
        <v>0</v>
      </c>
      <c r="F24" s="47">
        <v>0</v>
      </c>
      <c r="G24" s="47">
        <v>0</v>
      </c>
      <c r="H24" s="47">
        <v>0</v>
      </c>
      <c r="I24" s="47">
        <v>0</v>
      </c>
      <c r="J24" s="67">
        <v>1</v>
      </c>
      <c r="K24" s="47">
        <v>1</v>
      </c>
      <c r="L24" s="47">
        <v>0</v>
      </c>
      <c r="M24" s="47">
        <v>0</v>
      </c>
      <c r="N24" s="47">
        <v>0</v>
      </c>
      <c r="O24" s="82">
        <v>0</v>
      </c>
      <c r="P24" s="67">
        <v>0</v>
      </c>
      <c r="Q24" s="77">
        <v>0</v>
      </c>
      <c r="R24" s="47">
        <v>0</v>
      </c>
      <c r="S24" s="47">
        <v>0</v>
      </c>
      <c r="T24" s="47">
        <v>0</v>
      </c>
      <c r="U24" s="47">
        <v>0</v>
      </c>
      <c r="V24" s="42">
        <f>SUM(D24:U24)</f>
        <v>2</v>
      </c>
      <c r="Y24" s="45"/>
      <c r="Z24" s="45"/>
      <c r="AA24" s="45"/>
      <c r="AB24" s="45"/>
      <c r="AC24" s="45"/>
      <c r="AD24" s="45"/>
      <c r="AE24" s="45"/>
      <c r="AF24" s="45"/>
      <c r="AG24" s="45"/>
    </row>
    <row r="25" spans="1:33" ht="15.75" customHeight="1">
      <c r="A25" s="65"/>
      <c r="B25" s="63" t="s">
        <v>174</v>
      </c>
      <c r="C25" s="81">
        <v>2</v>
      </c>
      <c r="D25" s="47">
        <v>0</v>
      </c>
      <c r="E25" s="47">
        <v>0</v>
      </c>
      <c r="F25" s="47">
        <v>0</v>
      </c>
      <c r="G25" s="47">
        <v>0</v>
      </c>
      <c r="H25" s="47">
        <v>0</v>
      </c>
      <c r="I25" s="47">
        <v>0</v>
      </c>
      <c r="J25" s="67">
        <v>0</v>
      </c>
      <c r="K25" s="47">
        <v>1</v>
      </c>
      <c r="L25" s="47">
        <v>1</v>
      </c>
      <c r="M25" s="47">
        <v>0</v>
      </c>
      <c r="N25" s="47">
        <v>0</v>
      </c>
      <c r="O25" s="82">
        <v>0</v>
      </c>
      <c r="P25" s="67">
        <v>0</v>
      </c>
      <c r="Q25" s="77">
        <v>0</v>
      </c>
      <c r="R25" s="47">
        <v>0</v>
      </c>
      <c r="S25" s="47">
        <v>0</v>
      </c>
      <c r="T25" s="47">
        <v>0</v>
      </c>
      <c r="U25" s="47">
        <v>0</v>
      </c>
      <c r="V25" s="42">
        <f>SUM(D25:U25)</f>
        <v>2</v>
      </c>
      <c r="Y25" s="30"/>
      <c r="Z25" s="30"/>
      <c r="AA25" s="30"/>
      <c r="AB25" s="30"/>
      <c r="AC25" s="30"/>
      <c r="AD25" s="30"/>
      <c r="AE25" s="30"/>
      <c r="AF25" s="30"/>
      <c r="AG25" s="46"/>
    </row>
    <row r="26" spans="1:33" ht="15.75" customHeight="1">
      <c r="A26" s="64"/>
      <c r="B26" s="63" t="s">
        <v>179</v>
      </c>
      <c r="C26" s="81">
        <v>1</v>
      </c>
      <c r="D26" s="47">
        <v>0</v>
      </c>
      <c r="E26" s="47">
        <v>0</v>
      </c>
      <c r="F26" s="47">
        <v>0</v>
      </c>
      <c r="G26" s="47">
        <v>0</v>
      </c>
      <c r="H26" s="47">
        <v>0</v>
      </c>
      <c r="I26" s="47">
        <v>0</v>
      </c>
      <c r="J26" s="67">
        <v>0</v>
      </c>
      <c r="K26" s="47">
        <v>0</v>
      </c>
      <c r="L26" s="47">
        <v>0</v>
      </c>
      <c r="M26" s="47">
        <v>1</v>
      </c>
      <c r="N26" s="47">
        <v>0</v>
      </c>
      <c r="O26" s="82">
        <v>0</v>
      </c>
      <c r="P26" s="67">
        <v>0</v>
      </c>
      <c r="Q26" s="77">
        <v>0</v>
      </c>
      <c r="R26" s="47">
        <v>0</v>
      </c>
      <c r="S26" s="47">
        <v>0</v>
      </c>
      <c r="T26" s="47">
        <v>0</v>
      </c>
      <c r="U26" s="47">
        <v>0</v>
      </c>
      <c r="V26" s="42">
        <f>SUM(D26:U26)</f>
        <v>1</v>
      </c>
      <c r="W26" s="4"/>
      <c r="Y26" s="30"/>
      <c r="Z26" s="30"/>
      <c r="AA26" s="30"/>
      <c r="AB26" s="30"/>
      <c r="AC26" s="30"/>
      <c r="AD26" s="30"/>
      <c r="AE26" s="30"/>
      <c r="AF26" s="30"/>
      <c r="AG26" s="46"/>
    </row>
    <row r="27" spans="1:33" ht="15.75" customHeight="1">
      <c r="A27" s="65"/>
      <c r="B27" s="62" t="s">
        <v>187</v>
      </c>
      <c r="C27" s="81">
        <v>1</v>
      </c>
      <c r="D27" s="47">
        <v>0</v>
      </c>
      <c r="E27" s="47">
        <v>0</v>
      </c>
      <c r="F27" s="47">
        <v>0</v>
      </c>
      <c r="G27" s="47">
        <v>0</v>
      </c>
      <c r="H27" s="47">
        <v>0</v>
      </c>
      <c r="I27" s="47">
        <v>0</v>
      </c>
      <c r="J27" s="67">
        <v>0</v>
      </c>
      <c r="K27" s="47">
        <v>0</v>
      </c>
      <c r="L27" s="47">
        <v>1</v>
      </c>
      <c r="M27" s="47">
        <v>0</v>
      </c>
      <c r="N27" s="47">
        <v>0</v>
      </c>
      <c r="O27" s="82">
        <v>0</v>
      </c>
      <c r="P27" s="67">
        <v>0</v>
      </c>
      <c r="Q27" s="77">
        <v>0</v>
      </c>
      <c r="R27" s="47">
        <v>0</v>
      </c>
      <c r="S27" s="47">
        <v>0</v>
      </c>
      <c r="T27" s="47">
        <v>0</v>
      </c>
      <c r="U27" s="47">
        <v>0</v>
      </c>
      <c r="V27" s="42">
        <f>SUM(D27:U27)</f>
        <v>1</v>
      </c>
      <c r="Y27" s="30"/>
      <c r="Z27" s="30"/>
      <c r="AA27" s="30"/>
      <c r="AB27" s="30"/>
      <c r="AC27" s="30"/>
      <c r="AD27" s="30"/>
      <c r="AE27" s="30"/>
      <c r="AF27" s="30"/>
      <c r="AG27" s="46"/>
    </row>
    <row r="28" spans="1:33" ht="15.75" customHeight="1">
      <c r="A28" s="65"/>
      <c r="B28" s="62" t="s">
        <v>192</v>
      </c>
      <c r="C28" s="81">
        <v>1</v>
      </c>
      <c r="D28" s="47">
        <v>0</v>
      </c>
      <c r="E28" s="47">
        <v>0</v>
      </c>
      <c r="F28" s="47">
        <v>0</v>
      </c>
      <c r="G28" s="47">
        <v>0</v>
      </c>
      <c r="H28" s="47">
        <v>0</v>
      </c>
      <c r="I28" s="47">
        <v>0</v>
      </c>
      <c r="J28" s="67">
        <v>0</v>
      </c>
      <c r="K28" s="47">
        <v>1</v>
      </c>
      <c r="L28" s="47"/>
      <c r="M28" s="47">
        <v>0</v>
      </c>
      <c r="N28" s="47">
        <v>0</v>
      </c>
      <c r="O28" s="82">
        <v>0</v>
      </c>
      <c r="P28" s="67">
        <v>0</v>
      </c>
      <c r="Q28" s="77">
        <v>0</v>
      </c>
      <c r="R28" s="47">
        <v>0</v>
      </c>
      <c r="S28" s="47">
        <v>0</v>
      </c>
      <c r="T28" s="47">
        <v>0</v>
      </c>
      <c r="U28" s="47">
        <v>0</v>
      </c>
      <c r="V28" s="42">
        <f>SUM(D28:U28)</f>
        <v>1</v>
      </c>
      <c r="Y28" s="30"/>
      <c r="Z28" s="30"/>
      <c r="AA28" s="30"/>
      <c r="AB28" s="30"/>
      <c r="AC28" s="30"/>
      <c r="AD28" s="30"/>
      <c r="AE28" s="30"/>
      <c r="AF28" s="30"/>
      <c r="AG28" s="46"/>
    </row>
    <row r="29" spans="1:33" ht="15.75" customHeight="1">
      <c r="A29" s="64"/>
      <c r="B29" s="62" t="s">
        <v>200</v>
      </c>
      <c r="C29" s="81">
        <v>2</v>
      </c>
      <c r="D29" s="47">
        <v>0</v>
      </c>
      <c r="E29" s="47">
        <v>0</v>
      </c>
      <c r="F29" s="47">
        <v>0</v>
      </c>
      <c r="G29" s="47">
        <v>0</v>
      </c>
      <c r="H29" s="47">
        <v>0</v>
      </c>
      <c r="I29" s="47">
        <v>0</v>
      </c>
      <c r="J29" s="67">
        <v>0</v>
      </c>
      <c r="K29" s="47">
        <v>1</v>
      </c>
      <c r="L29" s="47">
        <v>0</v>
      </c>
      <c r="M29" s="47">
        <v>1</v>
      </c>
      <c r="N29" s="47">
        <v>0</v>
      </c>
      <c r="O29" s="82">
        <v>0</v>
      </c>
      <c r="P29" s="67">
        <v>0</v>
      </c>
      <c r="Q29" s="77">
        <v>0</v>
      </c>
      <c r="R29" s="47">
        <v>0</v>
      </c>
      <c r="S29" s="47">
        <v>0</v>
      </c>
      <c r="T29" s="47">
        <v>0</v>
      </c>
      <c r="U29" s="47">
        <v>0</v>
      </c>
      <c r="V29" s="42">
        <f>SUM(D29:U29)</f>
        <v>2</v>
      </c>
      <c r="Y29" s="46"/>
      <c r="Z29" s="46"/>
      <c r="AA29" s="30"/>
      <c r="AB29" s="30"/>
      <c r="AC29" s="30"/>
      <c r="AD29" s="30"/>
      <c r="AE29" s="30"/>
      <c r="AF29" s="30"/>
      <c r="AG29" s="46"/>
    </row>
    <row r="30" spans="1:33" ht="15.75" customHeight="1">
      <c r="A30" s="65"/>
      <c r="B30" s="62" t="s">
        <v>205</v>
      </c>
      <c r="C30" s="81">
        <v>2</v>
      </c>
      <c r="D30" s="47">
        <v>0</v>
      </c>
      <c r="E30" s="47">
        <v>0</v>
      </c>
      <c r="F30" s="47">
        <v>0</v>
      </c>
      <c r="G30" s="47">
        <v>0</v>
      </c>
      <c r="H30" s="47">
        <v>0</v>
      </c>
      <c r="I30" s="47">
        <v>0</v>
      </c>
      <c r="J30" s="67">
        <v>1</v>
      </c>
      <c r="K30" s="47">
        <v>0</v>
      </c>
      <c r="L30" s="47">
        <v>0</v>
      </c>
      <c r="M30" s="47">
        <v>0</v>
      </c>
      <c r="N30" s="47">
        <v>1</v>
      </c>
      <c r="O30" s="82">
        <v>0</v>
      </c>
      <c r="P30" s="67">
        <v>0</v>
      </c>
      <c r="Q30" s="77">
        <v>0</v>
      </c>
      <c r="R30" s="47">
        <v>0</v>
      </c>
      <c r="S30" s="47">
        <v>0</v>
      </c>
      <c r="T30" s="47">
        <v>0</v>
      </c>
      <c r="U30" s="47">
        <v>0</v>
      </c>
      <c r="V30" s="42">
        <f>SUM(D30:U30)</f>
        <v>2</v>
      </c>
      <c r="Y30" s="30"/>
      <c r="Z30" s="30"/>
      <c r="AA30" s="30"/>
      <c r="AB30" s="30"/>
      <c r="AC30" s="30"/>
      <c r="AD30" s="30"/>
      <c r="AE30" s="30"/>
      <c r="AF30" s="30"/>
      <c r="AG30" s="46"/>
    </row>
    <row r="31" spans="1:33" ht="15.75" customHeight="1">
      <c r="A31" s="65"/>
      <c r="B31" s="62" t="s">
        <v>212</v>
      </c>
      <c r="C31" s="81">
        <v>3</v>
      </c>
      <c r="D31" s="47">
        <v>0</v>
      </c>
      <c r="E31" s="47">
        <v>0</v>
      </c>
      <c r="F31" s="47">
        <v>0</v>
      </c>
      <c r="G31" s="47">
        <v>0</v>
      </c>
      <c r="H31" s="47">
        <v>0</v>
      </c>
      <c r="I31" s="47">
        <v>0</v>
      </c>
      <c r="J31" s="67">
        <v>0</v>
      </c>
      <c r="K31" s="47">
        <v>1</v>
      </c>
      <c r="L31" s="47">
        <v>0</v>
      </c>
      <c r="M31" s="47">
        <v>1</v>
      </c>
      <c r="N31" s="47">
        <v>1</v>
      </c>
      <c r="O31" s="82">
        <v>0</v>
      </c>
      <c r="P31" s="67">
        <v>0</v>
      </c>
      <c r="Q31" s="77">
        <v>0</v>
      </c>
      <c r="R31" s="47">
        <v>0</v>
      </c>
      <c r="S31" s="47">
        <v>0</v>
      </c>
      <c r="T31" s="47">
        <v>0</v>
      </c>
      <c r="U31" s="47">
        <v>0</v>
      </c>
      <c r="V31" s="42">
        <f>SUM(D31:U31)</f>
        <v>3</v>
      </c>
      <c r="Y31" s="30"/>
      <c r="Z31" s="30"/>
      <c r="AA31" s="30"/>
      <c r="AB31" s="30"/>
      <c r="AC31" s="30"/>
      <c r="AD31" s="30"/>
      <c r="AE31" s="30"/>
      <c r="AF31" s="30"/>
      <c r="AG31" s="46"/>
    </row>
    <row r="32" spans="1:33" ht="15.75" customHeight="1">
      <c r="A32" s="64"/>
      <c r="B32" s="62" t="s">
        <v>217</v>
      </c>
      <c r="C32" s="81">
        <v>3</v>
      </c>
      <c r="D32" s="47">
        <v>0</v>
      </c>
      <c r="E32" s="47">
        <v>0</v>
      </c>
      <c r="F32" s="47">
        <v>0</v>
      </c>
      <c r="G32" s="47">
        <v>0</v>
      </c>
      <c r="H32" s="47">
        <v>0</v>
      </c>
      <c r="I32" s="47">
        <v>0</v>
      </c>
      <c r="J32" s="67">
        <v>1</v>
      </c>
      <c r="K32" s="47">
        <v>0</v>
      </c>
      <c r="L32" s="47">
        <v>0</v>
      </c>
      <c r="M32" s="47">
        <v>1</v>
      </c>
      <c r="N32" s="47">
        <v>1</v>
      </c>
      <c r="O32" s="82">
        <v>0</v>
      </c>
      <c r="P32" s="67">
        <v>0</v>
      </c>
      <c r="Q32" s="77">
        <v>0</v>
      </c>
      <c r="R32" s="47">
        <v>0</v>
      </c>
      <c r="S32" s="47">
        <v>0</v>
      </c>
      <c r="T32" s="47">
        <v>0</v>
      </c>
      <c r="U32" s="47">
        <v>0</v>
      </c>
      <c r="V32" s="42">
        <f>SUM(D32:U32)</f>
        <v>3</v>
      </c>
      <c r="Y32" s="30"/>
      <c r="Z32" s="30"/>
      <c r="AA32" s="30"/>
      <c r="AB32" s="30"/>
      <c r="AC32" s="30"/>
      <c r="AD32" s="30"/>
      <c r="AE32" s="30"/>
      <c r="AF32" s="30"/>
      <c r="AG32" s="46"/>
    </row>
    <row r="33" spans="1:33" s="69" customFormat="1" ht="15.75" customHeight="1">
      <c r="A33" s="65"/>
      <c r="B33" s="66" t="s">
        <v>222</v>
      </c>
      <c r="C33" s="81">
        <v>2</v>
      </c>
      <c r="D33" s="67">
        <v>0</v>
      </c>
      <c r="E33" s="67">
        <v>0</v>
      </c>
      <c r="F33" s="67">
        <v>0</v>
      </c>
      <c r="G33" s="67">
        <v>0</v>
      </c>
      <c r="H33" s="67">
        <v>0</v>
      </c>
      <c r="I33" s="67">
        <v>0</v>
      </c>
      <c r="J33" s="67">
        <v>0</v>
      </c>
      <c r="K33" s="67">
        <v>0</v>
      </c>
      <c r="L33" s="67">
        <v>1</v>
      </c>
      <c r="M33" s="67">
        <v>0</v>
      </c>
      <c r="N33" s="67">
        <v>0</v>
      </c>
      <c r="O33" s="83">
        <v>1</v>
      </c>
      <c r="P33" s="67">
        <v>0</v>
      </c>
      <c r="Q33" s="78">
        <v>0</v>
      </c>
      <c r="R33" s="67">
        <v>0</v>
      </c>
      <c r="S33" s="67">
        <v>0</v>
      </c>
      <c r="T33" s="67">
        <v>0</v>
      </c>
      <c r="U33" s="67">
        <v>0</v>
      </c>
      <c r="V33" s="42">
        <f>SUM(D33:U33)</f>
        <v>2</v>
      </c>
      <c r="Y33" s="71"/>
      <c r="Z33" s="71"/>
      <c r="AA33" s="71"/>
      <c r="AB33" s="71"/>
      <c r="AC33" s="71"/>
      <c r="AD33" s="71"/>
      <c r="AE33" s="71"/>
      <c r="AF33" s="71"/>
      <c r="AG33" s="72"/>
    </row>
    <row r="34" spans="1:33" ht="15.75" customHeight="1">
      <c r="A34" s="65"/>
      <c r="B34" s="62" t="s">
        <v>227</v>
      </c>
      <c r="C34" s="81">
        <v>2</v>
      </c>
      <c r="D34" s="47">
        <v>0</v>
      </c>
      <c r="E34" s="47">
        <v>0</v>
      </c>
      <c r="F34" s="47">
        <v>0</v>
      </c>
      <c r="G34" s="47">
        <v>0</v>
      </c>
      <c r="H34" s="47">
        <v>0</v>
      </c>
      <c r="I34" s="47">
        <v>0</v>
      </c>
      <c r="J34" s="67">
        <v>0</v>
      </c>
      <c r="K34" s="47">
        <v>0</v>
      </c>
      <c r="L34" s="47">
        <v>0</v>
      </c>
      <c r="M34" s="47">
        <v>0</v>
      </c>
      <c r="N34" s="47">
        <v>0</v>
      </c>
      <c r="O34" s="82">
        <v>0</v>
      </c>
      <c r="P34" s="67">
        <v>1</v>
      </c>
      <c r="Q34" s="77">
        <v>1</v>
      </c>
      <c r="R34" s="47">
        <v>0</v>
      </c>
      <c r="S34" s="47">
        <v>0</v>
      </c>
      <c r="T34" s="47">
        <v>0</v>
      </c>
      <c r="U34" s="47">
        <v>0</v>
      </c>
      <c r="V34" s="42">
        <f>SUM(D34:U34)</f>
        <v>2</v>
      </c>
      <c r="Y34" s="46"/>
      <c r="Z34" s="46"/>
      <c r="AA34" s="30"/>
      <c r="AB34" s="30"/>
      <c r="AC34" s="30"/>
      <c r="AD34" s="30"/>
      <c r="AE34" s="30"/>
      <c r="AF34" s="30"/>
      <c r="AG34" s="46"/>
    </row>
    <row r="35" spans="1:33" ht="15.75" customHeight="1">
      <c r="A35" s="65"/>
      <c r="B35" s="62" t="s">
        <v>228</v>
      </c>
      <c r="C35" s="81">
        <v>2</v>
      </c>
      <c r="D35" s="47">
        <v>0</v>
      </c>
      <c r="E35" s="47">
        <v>0</v>
      </c>
      <c r="F35" s="47">
        <v>0</v>
      </c>
      <c r="G35" s="47">
        <v>0</v>
      </c>
      <c r="H35" s="47">
        <v>0</v>
      </c>
      <c r="I35" s="47">
        <v>0</v>
      </c>
      <c r="J35" s="67">
        <v>0</v>
      </c>
      <c r="K35" s="47">
        <v>0</v>
      </c>
      <c r="L35" s="47">
        <v>0</v>
      </c>
      <c r="M35" s="47">
        <v>0</v>
      </c>
      <c r="N35" s="47">
        <v>0</v>
      </c>
      <c r="O35" s="82">
        <v>0</v>
      </c>
      <c r="P35" s="67">
        <v>0</v>
      </c>
      <c r="Q35" s="77">
        <v>1</v>
      </c>
      <c r="R35" s="47">
        <v>0</v>
      </c>
      <c r="S35" s="47">
        <v>0</v>
      </c>
      <c r="T35" s="47">
        <v>1</v>
      </c>
      <c r="U35" s="47">
        <v>0</v>
      </c>
      <c r="V35" s="42">
        <f>SUM(D35:U35)</f>
        <v>2</v>
      </c>
      <c r="Y35" s="30"/>
      <c r="Z35" s="30"/>
      <c r="AA35" s="30"/>
      <c r="AB35" s="30"/>
      <c r="AC35" s="30"/>
      <c r="AD35" s="30"/>
      <c r="AE35" s="30"/>
      <c r="AF35" s="30"/>
      <c r="AG35" s="46"/>
    </row>
    <row r="36" spans="1:33" ht="15.75" customHeight="1">
      <c r="A36" s="3"/>
      <c r="B36" s="2" t="s">
        <v>229</v>
      </c>
      <c r="C36" s="81">
        <v>2</v>
      </c>
      <c r="D36" s="47">
        <v>0</v>
      </c>
      <c r="E36" s="47">
        <v>0</v>
      </c>
      <c r="F36" s="47">
        <v>0</v>
      </c>
      <c r="G36" s="47">
        <v>0</v>
      </c>
      <c r="H36" s="47">
        <v>0</v>
      </c>
      <c r="I36" s="47">
        <v>0</v>
      </c>
      <c r="J36" s="67">
        <v>0</v>
      </c>
      <c r="K36" s="47">
        <v>0</v>
      </c>
      <c r="L36" s="47">
        <v>0</v>
      </c>
      <c r="M36" s="47">
        <v>0</v>
      </c>
      <c r="N36" s="47">
        <v>0</v>
      </c>
      <c r="O36" s="82">
        <v>0</v>
      </c>
      <c r="P36" s="67">
        <v>0</v>
      </c>
      <c r="Q36" s="77">
        <v>0</v>
      </c>
      <c r="R36" s="47">
        <v>1</v>
      </c>
      <c r="S36" s="47">
        <v>0</v>
      </c>
      <c r="T36" s="47">
        <v>1</v>
      </c>
      <c r="U36" s="47">
        <v>0</v>
      </c>
      <c r="V36" s="42">
        <f>SUM(D36:U36)</f>
        <v>2</v>
      </c>
      <c r="Y36" s="30"/>
      <c r="Z36" s="30"/>
      <c r="AA36" s="30"/>
      <c r="AB36" s="30"/>
      <c r="AC36" s="30"/>
      <c r="AD36" s="30"/>
      <c r="AE36" s="30"/>
      <c r="AF36" s="30"/>
      <c r="AG36" s="46"/>
    </row>
    <row r="37" spans="1:33" ht="15.75" customHeight="1">
      <c r="A37" s="3"/>
      <c r="B37" s="2" t="s">
        <v>230</v>
      </c>
      <c r="C37" s="81">
        <v>2</v>
      </c>
      <c r="D37" s="47">
        <v>0</v>
      </c>
      <c r="E37" s="47">
        <v>0</v>
      </c>
      <c r="F37" s="47">
        <v>0</v>
      </c>
      <c r="G37" s="47">
        <v>0</v>
      </c>
      <c r="H37" s="47">
        <v>0</v>
      </c>
      <c r="I37" s="47">
        <v>0</v>
      </c>
      <c r="J37" s="67">
        <v>0</v>
      </c>
      <c r="K37" s="47">
        <v>0</v>
      </c>
      <c r="L37" s="47">
        <v>0</v>
      </c>
      <c r="M37" s="47">
        <v>0</v>
      </c>
      <c r="N37" s="47">
        <v>0</v>
      </c>
      <c r="O37" s="82">
        <v>0</v>
      </c>
      <c r="P37" s="67">
        <v>1</v>
      </c>
      <c r="Q37" s="77">
        <v>0</v>
      </c>
      <c r="R37" s="47">
        <v>1</v>
      </c>
      <c r="S37" s="47">
        <v>0</v>
      </c>
      <c r="T37" s="47">
        <v>0</v>
      </c>
      <c r="U37" s="47">
        <v>0</v>
      </c>
      <c r="V37" s="42">
        <f>SUM(D37:U37)</f>
        <v>2</v>
      </c>
      <c r="Y37" s="30"/>
      <c r="Z37" s="30"/>
      <c r="AA37" s="30"/>
      <c r="AB37" s="30"/>
      <c r="AC37" s="30"/>
      <c r="AD37" s="30"/>
      <c r="AE37" s="30"/>
      <c r="AF37" s="30"/>
      <c r="AG37" s="46"/>
    </row>
    <row r="38" spans="1:33" ht="15.75" customHeight="1">
      <c r="A38" s="3"/>
      <c r="B38" s="2" t="s">
        <v>262</v>
      </c>
      <c r="C38" s="81">
        <v>2</v>
      </c>
      <c r="D38" s="47">
        <v>0</v>
      </c>
      <c r="E38" s="47">
        <v>0</v>
      </c>
      <c r="F38" s="47">
        <v>0</v>
      </c>
      <c r="G38" s="47">
        <v>0</v>
      </c>
      <c r="H38" s="47">
        <v>0</v>
      </c>
      <c r="I38" s="47">
        <v>0</v>
      </c>
      <c r="J38" s="67">
        <v>0</v>
      </c>
      <c r="K38" s="47">
        <v>0</v>
      </c>
      <c r="L38" s="47">
        <v>0</v>
      </c>
      <c r="M38" s="47">
        <v>0</v>
      </c>
      <c r="N38" s="47">
        <v>0</v>
      </c>
      <c r="O38" s="82">
        <v>0</v>
      </c>
      <c r="P38" s="67">
        <v>0</v>
      </c>
      <c r="Q38" s="77">
        <v>0</v>
      </c>
      <c r="R38" s="47">
        <v>1</v>
      </c>
      <c r="S38" s="47">
        <v>1</v>
      </c>
      <c r="T38" s="47"/>
      <c r="U38" s="47">
        <v>0</v>
      </c>
      <c r="V38" s="42">
        <f>SUM(D38:U38)</f>
        <v>2</v>
      </c>
      <c r="Y38" s="30"/>
      <c r="Z38" s="30"/>
      <c r="AA38" s="30"/>
      <c r="AB38" s="30"/>
      <c r="AC38" s="30"/>
      <c r="AD38" s="30"/>
      <c r="AE38" s="30"/>
      <c r="AF38" s="30"/>
      <c r="AG38" s="46"/>
    </row>
    <row r="39" spans="1:33" ht="15.75" customHeight="1">
      <c r="A39" s="3"/>
      <c r="B39" s="2" t="s">
        <v>263</v>
      </c>
      <c r="C39" s="81">
        <v>3</v>
      </c>
      <c r="D39" s="47">
        <v>0</v>
      </c>
      <c r="E39" s="47">
        <v>0</v>
      </c>
      <c r="F39" s="47">
        <v>0</v>
      </c>
      <c r="G39" s="47">
        <v>0</v>
      </c>
      <c r="H39" s="47">
        <v>0</v>
      </c>
      <c r="I39" s="47">
        <v>0</v>
      </c>
      <c r="J39" s="67">
        <v>0</v>
      </c>
      <c r="K39" s="47">
        <v>0</v>
      </c>
      <c r="L39" s="47">
        <v>0</v>
      </c>
      <c r="M39" s="47">
        <v>0</v>
      </c>
      <c r="N39" s="47">
        <v>0</v>
      </c>
      <c r="O39" s="82">
        <v>0</v>
      </c>
      <c r="P39" s="67">
        <v>1</v>
      </c>
      <c r="Q39" s="77">
        <v>1</v>
      </c>
      <c r="R39" s="47">
        <v>0</v>
      </c>
      <c r="S39" s="47">
        <v>1</v>
      </c>
      <c r="T39" s="47">
        <v>0</v>
      </c>
      <c r="U39" s="47">
        <v>0</v>
      </c>
      <c r="V39" s="42">
        <f>SUM(D39:U39)</f>
        <v>3</v>
      </c>
      <c r="Y39" s="30"/>
      <c r="Z39" s="30"/>
      <c r="AA39" s="30"/>
      <c r="AB39" s="30"/>
      <c r="AC39" s="30"/>
      <c r="AD39" s="30"/>
      <c r="AE39" s="30"/>
      <c r="AF39" s="30"/>
      <c r="AG39" s="46"/>
    </row>
    <row r="40" spans="1:33" ht="15.75" customHeight="1">
      <c r="A40" s="3"/>
      <c r="B40" s="2" t="s">
        <v>264</v>
      </c>
      <c r="C40" s="81">
        <v>3</v>
      </c>
      <c r="D40" s="47">
        <v>0</v>
      </c>
      <c r="E40" s="47">
        <v>0</v>
      </c>
      <c r="F40" s="47">
        <v>0</v>
      </c>
      <c r="G40" s="47">
        <v>0</v>
      </c>
      <c r="H40" s="47">
        <v>0</v>
      </c>
      <c r="I40" s="47">
        <v>0</v>
      </c>
      <c r="J40" s="67">
        <v>0</v>
      </c>
      <c r="K40" s="47">
        <v>0</v>
      </c>
      <c r="L40" s="47">
        <v>0</v>
      </c>
      <c r="M40" s="47">
        <v>0</v>
      </c>
      <c r="N40" s="47">
        <v>0</v>
      </c>
      <c r="O40" s="82">
        <v>0</v>
      </c>
      <c r="P40" s="67">
        <v>0</v>
      </c>
      <c r="Q40" s="77">
        <v>1</v>
      </c>
      <c r="R40" s="47">
        <v>0</v>
      </c>
      <c r="S40" s="47">
        <v>0</v>
      </c>
      <c r="T40" s="47">
        <v>1</v>
      </c>
      <c r="U40" s="47">
        <v>1</v>
      </c>
      <c r="V40" s="42">
        <f>SUM(D40:U40)</f>
        <v>3</v>
      </c>
      <c r="Y40" s="30"/>
      <c r="Z40" s="30"/>
      <c r="AA40" s="30"/>
      <c r="AB40" s="30"/>
      <c r="AC40" s="30"/>
      <c r="AD40" s="30"/>
      <c r="AE40" s="30"/>
      <c r="AF40" s="30"/>
      <c r="AG40" s="46"/>
    </row>
    <row r="41" spans="1:33" ht="15.75" customHeight="1">
      <c r="A41" s="3"/>
      <c r="B41" s="2" t="s">
        <v>265</v>
      </c>
      <c r="C41" s="81">
        <v>2</v>
      </c>
      <c r="D41" s="47">
        <v>0</v>
      </c>
      <c r="E41" s="47">
        <v>0</v>
      </c>
      <c r="F41" s="47">
        <v>0</v>
      </c>
      <c r="G41" s="47">
        <v>0</v>
      </c>
      <c r="H41" s="47">
        <v>0</v>
      </c>
      <c r="I41" s="47">
        <v>0</v>
      </c>
      <c r="J41" s="67">
        <v>0</v>
      </c>
      <c r="K41" s="47">
        <v>0</v>
      </c>
      <c r="L41" s="47">
        <v>0</v>
      </c>
      <c r="M41" s="47">
        <v>0</v>
      </c>
      <c r="N41" s="47">
        <v>0</v>
      </c>
      <c r="O41" s="82">
        <v>0</v>
      </c>
      <c r="P41" s="67">
        <v>0</v>
      </c>
      <c r="Q41" s="77">
        <v>0</v>
      </c>
      <c r="R41" s="47">
        <v>1</v>
      </c>
      <c r="S41" s="47">
        <v>0</v>
      </c>
      <c r="T41" s="47">
        <v>1</v>
      </c>
      <c r="U41" s="47">
        <v>0</v>
      </c>
      <c r="V41" s="42">
        <f>SUM(D41:U41)</f>
        <v>2</v>
      </c>
      <c r="Y41" s="30"/>
      <c r="Z41" s="30"/>
      <c r="AA41" s="30"/>
      <c r="AB41" s="30"/>
      <c r="AC41" s="30"/>
      <c r="AD41" s="30"/>
      <c r="AE41" s="30"/>
      <c r="AF41" s="30"/>
      <c r="AG41" s="46"/>
    </row>
    <row r="42" spans="1:33" ht="15.75" customHeight="1">
      <c r="A42" s="3"/>
      <c r="B42" s="2" t="s">
        <v>266</v>
      </c>
      <c r="C42" s="81">
        <v>2</v>
      </c>
      <c r="D42" s="47">
        <v>0</v>
      </c>
      <c r="E42" s="47">
        <v>0</v>
      </c>
      <c r="F42" s="47">
        <v>0</v>
      </c>
      <c r="G42" s="47">
        <v>0</v>
      </c>
      <c r="H42" s="47">
        <v>0</v>
      </c>
      <c r="I42" s="47">
        <v>0</v>
      </c>
      <c r="J42" s="67">
        <v>0</v>
      </c>
      <c r="K42" s="47">
        <v>0</v>
      </c>
      <c r="L42" s="47">
        <v>0</v>
      </c>
      <c r="M42" s="47">
        <v>0</v>
      </c>
      <c r="N42" s="47">
        <v>0</v>
      </c>
      <c r="O42" s="82">
        <v>0</v>
      </c>
      <c r="P42" s="67">
        <v>1</v>
      </c>
      <c r="Q42" s="77">
        <v>0</v>
      </c>
      <c r="R42" s="47">
        <v>1</v>
      </c>
      <c r="S42" s="47">
        <v>0</v>
      </c>
      <c r="T42" s="47">
        <v>0</v>
      </c>
      <c r="U42" s="47">
        <v>0</v>
      </c>
      <c r="V42" s="42">
        <f>SUM(D42:U42)</f>
        <v>2</v>
      </c>
      <c r="Y42" s="46"/>
      <c r="Z42" s="46"/>
      <c r="AA42" s="30"/>
      <c r="AB42" s="30"/>
      <c r="AC42" s="30"/>
      <c r="AD42" s="30"/>
      <c r="AE42" s="30"/>
      <c r="AF42" s="30"/>
      <c r="AG42" s="46"/>
    </row>
    <row r="43" spans="1:33" ht="15.75" customHeight="1">
      <c r="A43" s="3"/>
      <c r="B43" s="2" t="s">
        <v>267</v>
      </c>
      <c r="C43" s="81">
        <v>2</v>
      </c>
      <c r="D43" s="47">
        <v>0</v>
      </c>
      <c r="E43" s="47">
        <v>0</v>
      </c>
      <c r="F43" s="47">
        <v>0</v>
      </c>
      <c r="G43" s="47">
        <v>0</v>
      </c>
      <c r="H43" s="47">
        <v>0</v>
      </c>
      <c r="I43" s="47">
        <v>0</v>
      </c>
      <c r="J43" s="67">
        <v>0</v>
      </c>
      <c r="K43" s="47">
        <v>0</v>
      </c>
      <c r="L43" s="47">
        <v>0</v>
      </c>
      <c r="M43" s="47">
        <v>0</v>
      </c>
      <c r="N43" s="47">
        <v>0</v>
      </c>
      <c r="O43" s="82">
        <v>0</v>
      </c>
      <c r="P43" s="67">
        <v>0</v>
      </c>
      <c r="Q43" s="77">
        <v>1</v>
      </c>
      <c r="R43" s="47">
        <v>0</v>
      </c>
      <c r="S43" s="47">
        <v>1</v>
      </c>
      <c r="T43" s="47">
        <v>0</v>
      </c>
      <c r="U43" s="47">
        <v>0</v>
      </c>
      <c r="V43" s="42">
        <f>SUM(D43:U43)</f>
        <v>2</v>
      </c>
      <c r="Y43" s="30"/>
      <c r="Z43" s="30"/>
      <c r="AA43" s="30"/>
      <c r="AB43" s="30"/>
      <c r="AC43" s="30"/>
      <c r="AD43" s="30"/>
      <c r="AE43" s="30"/>
      <c r="AF43" s="30"/>
      <c r="AG43" s="46"/>
    </row>
    <row r="44" spans="1:33" ht="15.75" customHeight="1">
      <c r="A44" s="3"/>
      <c r="B44" s="2" t="s">
        <v>268</v>
      </c>
      <c r="C44" s="81">
        <v>2</v>
      </c>
      <c r="D44" s="47">
        <v>0</v>
      </c>
      <c r="E44" s="47">
        <v>0</v>
      </c>
      <c r="F44" s="47">
        <v>0</v>
      </c>
      <c r="G44" s="47">
        <v>0</v>
      </c>
      <c r="H44" s="47">
        <v>0</v>
      </c>
      <c r="I44" s="47">
        <v>0</v>
      </c>
      <c r="J44" s="67">
        <v>0</v>
      </c>
      <c r="K44" s="47">
        <v>0</v>
      </c>
      <c r="L44" s="47">
        <v>0</v>
      </c>
      <c r="M44" s="47">
        <v>0</v>
      </c>
      <c r="N44" s="47">
        <v>0</v>
      </c>
      <c r="O44" s="82">
        <v>0</v>
      </c>
      <c r="P44" s="67">
        <v>0</v>
      </c>
      <c r="Q44" s="77">
        <v>0</v>
      </c>
      <c r="R44" s="47">
        <v>0</v>
      </c>
      <c r="S44" s="47">
        <v>1</v>
      </c>
      <c r="T44" s="47">
        <v>1</v>
      </c>
      <c r="U44" s="47">
        <v>0</v>
      </c>
      <c r="V44" s="42">
        <f>SUM(D44:U44)</f>
        <v>2</v>
      </c>
      <c r="Y44" s="30"/>
      <c r="Z44" s="30"/>
      <c r="AA44" s="30"/>
      <c r="AB44" s="30"/>
      <c r="AC44" s="30"/>
      <c r="AD44" s="30"/>
      <c r="AE44" s="30"/>
      <c r="AF44" s="30"/>
      <c r="AG44" s="46"/>
    </row>
    <row r="45" spans="1:33" ht="15.75" customHeight="1">
      <c r="A45" s="3"/>
      <c r="B45" s="2" t="s">
        <v>254</v>
      </c>
      <c r="C45" s="81">
        <v>2</v>
      </c>
      <c r="D45" s="47">
        <v>0</v>
      </c>
      <c r="E45" s="47">
        <v>0</v>
      </c>
      <c r="F45" s="47">
        <v>0</v>
      </c>
      <c r="G45" s="47">
        <v>0</v>
      </c>
      <c r="H45" s="47">
        <v>0</v>
      </c>
      <c r="I45" s="47">
        <v>0</v>
      </c>
      <c r="J45" s="67">
        <v>0</v>
      </c>
      <c r="K45" s="47">
        <v>0</v>
      </c>
      <c r="L45" s="47">
        <v>0</v>
      </c>
      <c r="M45" s="47">
        <v>0</v>
      </c>
      <c r="N45" s="47">
        <v>0</v>
      </c>
      <c r="O45" s="82">
        <v>0</v>
      </c>
      <c r="P45" s="67">
        <v>0</v>
      </c>
      <c r="Q45" s="77">
        <v>0</v>
      </c>
      <c r="R45" s="47">
        <v>0</v>
      </c>
      <c r="S45" s="47">
        <v>1</v>
      </c>
      <c r="T45" s="47">
        <v>1</v>
      </c>
      <c r="U45" s="47">
        <v>0</v>
      </c>
      <c r="V45" s="42">
        <f>SUM(D45:U45)</f>
        <v>2</v>
      </c>
      <c r="Y45" s="30"/>
      <c r="Z45" s="30"/>
      <c r="AA45" s="30"/>
      <c r="AB45" s="30"/>
      <c r="AC45" s="30"/>
      <c r="AD45" s="30"/>
      <c r="AE45" s="30"/>
      <c r="AF45" s="30"/>
      <c r="AG45" s="46"/>
    </row>
    <row r="46" spans="1:33" ht="15.75" customHeight="1">
      <c r="A46" s="3"/>
      <c r="B46" s="2" t="s">
        <v>255</v>
      </c>
      <c r="C46" s="81">
        <v>2</v>
      </c>
      <c r="D46" s="47">
        <v>0</v>
      </c>
      <c r="E46" s="47">
        <v>0</v>
      </c>
      <c r="F46" s="47">
        <v>0</v>
      </c>
      <c r="G46" s="47">
        <v>0</v>
      </c>
      <c r="H46" s="47">
        <v>0</v>
      </c>
      <c r="I46" s="47">
        <v>0</v>
      </c>
      <c r="J46" s="67">
        <v>0</v>
      </c>
      <c r="K46" s="47">
        <v>0</v>
      </c>
      <c r="L46" s="47">
        <v>0</v>
      </c>
      <c r="M46" s="47">
        <v>0</v>
      </c>
      <c r="N46" s="47">
        <v>0</v>
      </c>
      <c r="O46" s="82">
        <v>0</v>
      </c>
      <c r="P46" s="67">
        <v>0</v>
      </c>
      <c r="Q46" s="77">
        <v>0</v>
      </c>
      <c r="R46" s="47">
        <v>0</v>
      </c>
      <c r="S46" s="47">
        <v>0</v>
      </c>
      <c r="T46" s="47">
        <v>1</v>
      </c>
      <c r="U46" s="47">
        <v>1</v>
      </c>
      <c r="V46" s="42">
        <f>SUM(D46:U46)</f>
        <v>2</v>
      </c>
      <c r="Y46" s="30"/>
      <c r="Z46" s="30"/>
      <c r="AA46" s="30"/>
      <c r="AB46" s="30"/>
      <c r="AC46" s="30"/>
      <c r="AD46" s="30"/>
      <c r="AE46" s="30"/>
      <c r="AF46" s="30"/>
      <c r="AG46" s="46"/>
    </row>
    <row r="47" spans="1:33" ht="15.75" customHeight="1">
      <c r="A47" s="3"/>
      <c r="B47" s="2" t="s">
        <v>256</v>
      </c>
      <c r="C47" s="81">
        <v>2</v>
      </c>
      <c r="D47" s="47">
        <v>0</v>
      </c>
      <c r="E47" s="47">
        <v>0</v>
      </c>
      <c r="F47" s="47">
        <v>0</v>
      </c>
      <c r="G47" s="47">
        <v>0</v>
      </c>
      <c r="H47" s="47">
        <v>0</v>
      </c>
      <c r="I47" s="47">
        <v>0</v>
      </c>
      <c r="J47" s="67">
        <v>0</v>
      </c>
      <c r="K47" s="47">
        <v>0</v>
      </c>
      <c r="L47" s="47">
        <v>0</v>
      </c>
      <c r="M47" s="47">
        <v>0</v>
      </c>
      <c r="N47" s="47">
        <v>0</v>
      </c>
      <c r="O47" s="82">
        <v>0</v>
      </c>
      <c r="P47" s="67">
        <v>0</v>
      </c>
      <c r="Q47" s="77">
        <v>0</v>
      </c>
      <c r="R47" s="47">
        <v>0</v>
      </c>
      <c r="S47" s="47">
        <v>0</v>
      </c>
      <c r="T47" s="47">
        <v>1</v>
      </c>
      <c r="U47" s="47">
        <v>1</v>
      </c>
      <c r="V47" s="42">
        <f>SUM(D47:U47)</f>
        <v>2</v>
      </c>
      <c r="Y47" s="46"/>
      <c r="Z47" s="46"/>
      <c r="AA47" s="30"/>
      <c r="AB47" s="30"/>
      <c r="AC47" s="30"/>
      <c r="AD47" s="30"/>
      <c r="AE47" s="30"/>
      <c r="AF47" s="30"/>
      <c r="AG47" s="46"/>
    </row>
    <row r="48" spans="1:33" ht="15.75" customHeight="1">
      <c r="B48" s="3"/>
      <c r="C48" s="3"/>
      <c r="D48" s="3"/>
      <c r="E48" s="3"/>
      <c r="F48" s="3"/>
      <c r="G48" s="3"/>
      <c r="H48" s="3"/>
      <c r="I48" s="3"/>
      <c r="J48" s="68"/>
      <c r="K48" s="3"/>
      <c r="L48" s="3"/>
      <c r="M48" s="3"/>
      <c r="N48" s="3"/>
      <c r="R48" s="3"/>
      <c r="S48" s="3"/>
      <c r="T48" s="3"/>
      <c r="U48" s="3"/>
      <c r="V48" s="3"/>
      <c r="Y48" s="30"/>
      <c r="Z48" s="30"/>
      <c r="AA48" s="30"/>
      <c r="AB48" s="30"/>
      <c r="AC48" s="30"/>
      <c r="AD48" s="30"/>
      <c r="AE48" s="30"/>
      <c r="AF48" s="30"/>
      <c r="AG48" s="46"/>
    </row>
    <row r="49" spans="2:33" ht="15.75" customHeight="1">
      <c r="B49" s="38" t="s">
        <v>134</v>
      </c>
      <c r="C49" s="39">
        <f>SUM(C3:C47)</f>
        <v>87</v>
      </c>
      <c r="D49" s="39">
        <f>C49-SUM(D3:D47)</f>
        <v>84</v>
      </c>
      <c r="E49" s="39">
        <f>D49-SUM(E3:E47)</f>
        <v>78</v>
      </c>
      <c r="F49" s="39">
        <f>E49-SUM(F3:F47)</f>
        <v>72</v>
      </c>
      <c r="G49" s="39">
        <f>F49-SUM(G3:G47)</f>
        <v>65</v>
      </c>
      <c r="H49" s="39">
        <f>G49-SUM(H3:H47)</f>
        <v>55</v>
      </c>
      <c r="I49" s="39">
        <f>H49-SUM(I3:I47)</f>
        <v>50</v>
      </c>
      <c r="J49" s="75">
        <f>I49-SUM(J3:J47)</f>
        <v>46</v>
      </c>
      <c r="K49" s="39">
        <f>J49-SUM(K3:K47)</f>
        <v>40</v>
      </c>
      <c r="L49" s="39">
        <f>K49-SUM(L3:L47)</f>
        <v>37</v>
      </c>
      <c r="M49" s="39">
        <f>L49-SUM(M3:M47)</f>
        <v>33</v>
      </c>
      <c r="N49" s="39">
        <f>M49-SUM(N3:N47)</f>
        <v>30</v>
      </c>
      <c r="O49" s="84">
        <f>N49-SUM(O3:O47)</f>
        <v>29</v>
      </c>
      <c r="P49" s="75">
        <f>O49-SUM(P3:P47)</f>
        <v>25</v>
      </c>
      <c r="Q49" s="79">
        <f>P49-SUM(Q3:Q47)</f>
        <v>20</v>
      </c>
      <c r="R49" s="39">
        <f>Q49-SUM(R3:R47)</f>
        <v>15</v>
      </c>
      <c r="S49" s="39">
        <f>R49-SUM(S3:S47)</f>
        <v>10</v>
      </c>
      <c r="T49" s="39">
        <f>S49-SUM(T3:T47)</f>
        <v>2</v>
      </c>
      <c r="U49" s="39">
        <f>T49-SUM(U3:U47)</f>
        <v>-1</v>
      </c>
      <c r="Y49" s="30"/>
      <c r="Z49" s="30"/>
      <c r="AA49" s="30"/>
      <c r="AB49" s="30"/>
      <c r="AC49" s="30"/>
      <c r="AD49" s="30"/>
      <c r="AE49" s="30"/>
      <c r="AF49" s="30"/>
      <c r="AG49" s="46"/>
    </row>
    <row r="50" spans="2:33" ht="15.75" customHeight="1">
      <c r="B50" s="38" t="s">
        <v>135</v>
      </c>
      <c r="C50" s="39">
        <f>SUM(C3:C47)</f>
        <v>87</v>
      </c>
      <c r="D50" s="39">
        <f>C50-(SUM(C3:C47)/18)</f>
        <v>82.166666666666671</v>
      </c>
      <c r="E50" s="39">
        <f>D50-(SUM(C3:C47)/18)</f>
        <v>77.333333333333343</v>
      </c>
      <c r="F50" s="39">
        <f>E50-(SUM(C3:C47)/18)</f>
        <v>72.500000000000014</v>
      </c>
      <c r="G50" s="39">
        <f>F50-(SUM(C3:C47)/18)</f>
        <v>67.666666666666686</v>
      </c>
      <c r="H50" s="39">
        <f>G50-(SUM(C3:C47)/18)</f>
        <v>62.83333333333335</v>
      </c>
      <c r="I50" s="39">
        <f>H50-(SUM(C3:C47)/18)</f>
        <v>58.000000000000014</v>
      </c>
      <c r="J50" s="75">
        <f>I50-(SUM(C3:C47)/18)</f>
        <v>53.166666666666679</v>
      </c>
      <c r="K50" s="39">
        <f>J50-(SUM(C3:C47)/18)</f>
        <v>48.333333333333343</v>
      </c>
      <c r="L50" s="39">
        <f>K50-(SUM(C3:C47)/18)</f>
        <v>43.500000000000007</v>
      </c>
      <c r="M50" s="39">
        <f>L50-(SUM(C3:C47)/18)</f>
        <v>38.666666666666671</v>
      </c>
      <c r="N50" s="39">
        <f>M50-(SUM(C3:C47)/18)</f>
        <v>33.833333333333336</v>
      </c>
      <c r="O50" s="84">
        <f>M50-(SUM(C3:C47)/18)</f>
        <v>33.833333333333336</v>
      </c>
      <c r="P50" s="75">
        <f>O50-(SUM(C3:C47)/18)</f>
        <v>29.000000000000004</v>
      </c>
      <c r="Q50" s="79">
        <f>P50-(SUM(C3:C47)/18)</f>
        <v>24.166666666666671</v>
      </c>
      <c r="R50" s="39">
        <f>Q50-(SUM(C3:C47)/18)</f>
        <v>19.333333333333339</v>
      </c>
      <c r="S50" s="39">
        <f>R50-(SUM(C3:C47)/18)</f>
        <v>14.500000000000007</v>
      </c>
      <c r="T50" s="39">
        <f>S50-(SUM(C3:C47)/18)</f>
        <v>9.666666666666675</v>
      </c>
      <c r="U50" s="39">
        <f>T50-(SUM(C3:C47)/18)</f>
        <v>4.8333333333333419</v>
      </c>
      <c r="Y50" s="30"/>
      <c r="Z50" s="30"/>
      <c r="AA50" s="30"/>
      <c r="AB50" s="30"/>
      <c r="AC50" s="30"/>
      <c r="AD50" s="30"/>
      <c r="AE50" s="30"/>
      <c r="AF50" s="30"/>
      <c r="AG50" s="46"/>
    </row>
    <row r="51" spans="2:33" ht="15.75" customHeight="1">
      <c r="Y51" s="30"/>
      <c r="Z51" s="30"/>
      <c r="AA51" s="30"/>
      <c r="AB51" s="30"/>
      <c r="AC51" s="30"/>
      <c r="AD51" s="30"/>
      <c r="AE51" s="30"/>
      <c r="AF51" s="30"/>
      <c r="AG51" s="46"/>
    </row>
    <row r="52" spans="2:33" ht="15.75" customHeight="1">
      <c r="Y52" s="30"/>
      <c r="Z52" s="30"/>
      <c r="AA52" s="30"/>
      <c r="AB52" s="30"/>
      <c r="AC52" s="30"/>
      <c r="AD52" s="30"/>
      <c r="AE52" s="30"/>
      <c r="AF52" s="30"/>
      <c r="AG52" s="46"/>
    </row>
    <row r="53" spans="2:33" ht="15.75" customHeight="1">
      <c r="Y53" s="46"/>
      <c r="Z53" s="46"/>
      <c r="AA53" s="30"/>
      <c r="AB53" s="30"/>
      <c r="AC53" s="30"/>
      <c r="AD53" s="30"/>
      <c r="AE53" s="30"/>
      <c r="AF53" s="30"/>
      <c r="AG53" s="46"/>
    </row>
    <row r="54" spans="2:33" ht="15.75" customHeight="1">
      <c r="B54" s="86" t="s">
        <v>281</v>
      </c>
      <c r="C54" s="86"/>
      <c r="D54" s="86"/>
      <c r="E54" s="86"/>
      <c r="F54" s="86"/>
      <c r="G54" s="86"/>
      <c r="H54" s="86"/>
      <c r="I54" s="86"/>
      <c r="J54" s="86"/>
      <c r="K54" s="86"/>
      <c r="L54" s="86"/>
    </row>
    <row r="55" spans="2:33" ht="15.75" customHeight="1">
      <c r="B55" s="86"/>
      <c r="C55" s="86"/>
      <c r="D55" s="86"/>
      <c r="E55" s="86"/>
      <c r="F55" s="86"/>
      <c r="G55" s="86"/>
      <c r="H55" s="86"/>
      <c r="I55" s="86"/>
      <c r="J55" s="86"/>
      <c r="K55" s="86"/>
      <c r="L55" s="86"/>
    </row>
    <row r="56" spans="2:33" ht="15.75" customHeight="1">
      <c r="B56" s="86"/>
      <c r="C56" s="86"/>
      <c r="D56" s="86"/>
      <c r="E56" s="86"/>
      <c r="F56" s="86"/>
      <c r="G56" s="86"/>
      <c r="H56" s="86"/>
      <c r="I56" s="86"/>
      <c r="J56" s="86"/>
      <c r="K56" s="86"/>
      <c r="L56" s="86"/>
    </row>
    <row r="57" spans="2:33" ht="15.75" customHeight="1">
      <c r="B57" s="86"/>
      <c r="C57" s="86"/>
      <c r="D57" s="86"/>
      <c r="E57" s="86"/>
      <c r="F57" s="86"/>
      <c r="G57" s="86"/>
      <c r="H57" s="86"/>
      <c r="I57" s="86"/>
      <c r="J57" s="86"/>
      <c r="K57" s="86"/>
      <c r="L57" s="86"/>
    </row>
    <row r="58" spans="2:33" ht="15.75" customHeight="1">
      <c r="B58" s="86"/>
      <c r="C58" s="86"/>
      <c r="D58" s="86"/>
      <c r="E58" s="86"/>
      <c r="F58" s="86"/>
      <c r="G58" s="86"/>
      <c r="H58" s="86"/>
      <c r="I58" s="86"/>
      <c r="J58" s="86"/>
      <c r="K58" s="86"/>
      <c r="L58" s="86"/>
    </row>
    <row r="59" spans="2:33" ht="15.75" customHeight="1">
      <c r="B59" s="86"/>
      <c r="C59" s="86"/>
      <c r="D59" s="86"/>
      <c r="E59" s="86"/>
      <c r="F59" s="86"/>
      <c r="G59" s="86"/>
      <c r="H59" s="86"/>
      <c r="I59" s="86"/>
      <c r="J59" s="86"/>
      <c r="K59" s="86"/>
      <c r="L59" s="86"/>
    </row>
    <row r="60" spans="2:33" ht="15.75" customHeight="1">
      <c r="B60" s="86"/>
      <c r="C60" s="86"/>
      <c r="D60" s="86"/>
      <c r="E60" s="86"/>
      <c r="F60" s="86"/>
      <c r="G60" s="86"/>
      <c r="H60" s="86"/>
      <c r="I60" s="86"/>
      <c r="J60" s="86"/>
      <c r="K60" s="86"/>
      <c r="L60" s="86"/>
    </row>
    <row r="61" spans="2:33" ht="15.75" customHeight="1">
      <c r="B61" s="86"/>
      <c r="C61" s="86"/>
      <c r="D61" s="86"/>
      <c r="E61" s="86"/>
      <c r="F61" s="86"/>
      <c r="G61" s="86"/>
      <c r="H61" s="86"/>
      <c r="I61" s="86"/>
      <c r="J61" s="86"/>
      <c r="K61" s="86"/>
      <c r="L61" s="86"/>
    </row>
    <row r="62" spans="2:33" ht="15.75" customHeight="1"/>
    <row r="63" spans="2:33" ht="15.75" customHeight="1"/>
    <row r="64" spans="2:33"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1">
    <mergeCell ref="B54:L61"/>
  </mergeCells>
  <phoneticPr fontId="14" type="noConversion"/>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Backlog</vt:lpstr>
      <vt:lpstr>sprint1</vt:lpstr>
      <vt:lpstr>sprint2</vt:lpstr>
      <vt:lpstr>sprint3</vt:lpstr>
      <vt:lpstr>burdonchart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REISHEL DAYELIN TIPAN AVILA</cp:lastModifiedBy>
  <cp:revision/>
  <dcterms:created xsi:type="dcterms:W3CDTF">2023-06-05T13:12:31Z</dcterms:created>
  <dcterms:modified xsi:type="dcterms:W3CDTF">2026-01-22T15:57:45Z</dcterms:modified>
  <cp:category/>
  <cp:contentStatus/>
</cp:coreProperties>
</file>