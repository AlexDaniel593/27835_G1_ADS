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CBAA7FEC-A886-422F-8A9C-5571DE6C3099}" xr6:coauthVersionLast="47" xr6:coauthVersionMax="47" xr10:uidLastSave="{00000000-0000-0000-0000-000000000000}"/>
  <bookViews>
    <workbookView xWindow="-110" yWindow="-110" windowWidth="19420" windowHeight="11020" firstSheet="1" xr2:uid="{00000000-000D-0000-FFFF-FFFF00000000}"/>
  </bookViews>
  <sheets>
    <sheet name="Backlog" sheetId="1" r:id="rId1"/>
    <sheet name="sprint0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F28" i="3" l="1"/>
  <c r="F27" i="3"/>
  <c r="C28" i="3"/>
  <c r="D28" i="3"/>
  <c r="E28" i="3"/>
  <c r="G27" i="3"/>
  <c r="H27" i="3" s="1"/>
  <c r="G28" i="3"/>
  <c r="H28" i="3" s="1"/>
  <c r="E27" i="3"/>
  <c r="D27" i="3"/>
  <c r="C27" i="3"/>
</calcChain>
</file>

<file path=xl/sharedStrings.xml><?xml version="1.0" encoding="utf-8"?>
<sst xmlns="http://schemas.openxmlformats.org/spreadsheetml/2006/main" count="608" uniqueCount="257">
  <si>
    <t>ID</t>
  </si>
  <si>
    <t>Tema</t>
  </si>
  <si>
    <t>Como un…</t>
  </si>
  <si>
    <t>Necesito…</t>
  </si>
  <si>
    <t>Así podré…</t>
  </si>
  <si>
    <t>Notas</t>
  </si>
  <si>
    <t>Prioridad</t>
  </si>
  <si>
    <t>Estatus</t>
  </si>
  <si>
    <t>REQ001</t>
  </si>
  <si>
    <t>Iniciar sesión</t>
  </si>
  <si>
    <t>Administrador / Empleado</t>
  </si>
  <si>
    <t>Validar credenciales para acceder al sistema</t>
  </si>
  <si>
    <t>Garantizar que solo usuarios autorizados ingresen y manejen la información</t>
  </si>
  <si>
    <t>Validar usuario, contraseña, intentos y manejo de errores</t>
  </si>
  <si>
    <t>Alta</t>
  </si>
  <si>
    <t>No iniciado</t>
  </si>
  <si>
    <t>REQ002</t>
  </si>
  <si>
    <t>Modificar contraseña</t>
  </si>
  <si>
    <t>Cambiar mi contraseña actual validando políticas de seguridad</t>
  </si>
  <si>
    <t>Mantener segura mi cuenta y actualizar credenciales cuando sea necesario</t>
  </si>
  <si>
    <t>Validar contraseña actual, nuevas políticas, confirmación y cifrado</t>
  </si>
  <si>
    <t>REQ003</t>
  </si>
  <si>
    <t>Añadir producto</t>
  </si>
  <si>
    <t>Administrador</t>
  </si>
  <si>
    <t>Registrar nombre, precio, categoría, material, color e imagen</t>
  </si>
  <si>
    <t>Mantener un catálogo actualizado para mostrar a los clientes</t>
  </si>
  <si>
    <t>Validar formato de precio e imagen; campos obligatorios</t>
  </si>
  <si>
    <t>REQ004</t>
  </si>
  <si>
    <t>Consultar producto</t>
  </si>
  <si>
    <t>Consultar productos por nombre, categoría, material, color o precio</t>
  </si>
  <si>
    <t>Localizar rápidamente productos para gestionarlos o mostrarlos</t>
  </si>
  <si>
    <t>Permitir búsqueda parcial y paginación</t>
  </si>
  <si>
    <t>REQ005</t>
  </si>
  <si>
    <t>Modificar producto</t>
  </si>
  <si>
    <t>Actualizar los datos de un producto existente</t>
  </si>
  <si>
    <t>Mantener información correcta y vigente en el catálogo</t>
  </si>
  <si>
    <t>Registrar fecha de última modificación</t>
  </si>
  <si>
    <t>REQ006</t>
  </si>
  <si>
    <t>Eliminar producto</t>
  </si>
  <si>
    <t>Eliminar un producto del catálogo</t>
  </si>
  <si>
    <t>Evitar mostrar productos obsoletos o fuera de venta</t>
  </si>
  <si>
    <t>Confirmación clara antes de borrar</t>
  </si>
  <si>
    <t>Media</t>
  </si>
  <si>
    <t>REQ007</t>
  </si>
  <si>
    <t>Restaurar producto</t>
  </si>
  <si>
    <t>Recuperar un producto eliminado lógicamente</t>
  </si>
  <si>
    <t>Reintegrarlo al catálogo y uso en proformas</t>
  </si>
  <si>
    <t>Validar duplicidad antes de restaurar</t>
  </si>
  <si>
    <t>REQ008</t>
  </si>
  <si>
    <t>Gestionar ofertas</t>
  </si>
  <si>
    <t>Registrar, modificar y eliminar ofertas de productos</t>
  </si>
  <si>
    <t>Aplicar descuentos oficiales sin errores</t>
  </si>
  <si>
    <t>Validar fechas de inicio y fin</t>
  </si>
  <si>
    <t>REQ009</t>
  </si>
  <si>
    <t>Visualizar catálogo de productos</t>
  </si>
  <si>
    <t>Cliente</t>
  </si>
  <si>
    <t>Ver catálogo con filtros básicos</t>
  </si>
  <si>
    <t>Consultar productos disponibles sin depender del administrador</t>
  </si>
  <si>
    <t>Optimizado para móviles</t>
  </si>
  <si>
    <t>REQ010</t>
  </si>
  <si>
    <t>Generar proforma</t>
  </si>
  <si>
    <t>Crear proforma con datos de cliente, productos y descuentos</t>
  </si>
  <si>
    <t>Emitir documentos claros con subtotal, impuestos y total</t>
  </si>
  <si>
    <t>Definir numeración estándar</t>
  </si>
  <si>
    <t>REQ011</t>
  </si>
  <si>
    <t>Actualizar proforma</t>
  </si>
  <si>
    <t>Editar una proforma existente</t>
  </si>
  <si>
    <t>Corregir información sin crear una nueva</t>
  </si>
  <si>
    <t>Registrar historial mínimo de cambios</t>
  </si>
  <si>
    <t>REQ012</t>
  </si>
  <si>
    <t>Consultar proforma</t>
  </si>
  <si>
    <t>Consultar proformas por número, cliente o fecha</t>
  </si>
  <si>
    <t>Encontrar proformas fácilmente</t>
  </si>
  <si>
    <t>Permitir ordenar por fecha y total</t>
  </si>
  <si>
    <t>REQ013</t>
  </si>
  <si>
    <t>Eliminar proforma</t>
  </si>
  <si>
    <t>Eliminar o anular una proforma</t>
  </si>
  <si>
    <t>Evitar usar proformas incorrectas en reportes</t>
  </si>
  <si>
    <t>Usar eliminación lógica (estado “Anulada”)</t>
  </si>
  <si>
    <t>REQ014</t>
  </si>
  <si>
    <t>Exportar proforma a PDF/Excel</t>
  </si>
  <si>
    <t>Exportar proforma a PDF y Excel</t>
  </si>
  <si>
    <t>Compartir con clientes o archivar</t>
  </si>
  <si>
    <t>Probar exportación en distintos navegadores</t>
  </si>
  <si>
    <t>REQ015</t>
  </si>
  <si>
    <t>Restaurar proforma</t>
  </si>
  <si>
    <t>Restaurar una proforma que fue eliminada lógicamente</t>
  </si>
  <si>
    <t>Recuperar información importante y volver a utilizarla o modificarla</t>
  </si>
  <si>
    <t>Solo restaurables si tienen menos de 1 año de eliminación; registrar usuario y fecha</t>
  </si>
  <si>
    <t>REQ016</t>
  </si>
  <si>
    <t>Compartir catálogo</t>
  </si>
  <si>
    <t>Cliente / Administrador</t>
  </si>
  <si>
    <t>Compartir catálogo por redes y QR</t>
  </si>
  <si>
    <t>Difundir productos y atraer clientes</t>
  </si>
  <si>
    <t>Verificar lectura del QR en distintos dispositivos</t>
  </si>
  <si>
    <t>REQ017</t>
  </si>
  <si>
    <t>Reporte de proformas</t>
  </si>
  <si>
    <t>Generar reportes mensuales, anuales o por cliente</t>
  </si>
  <si>
    <t>Analizar ventas y tomar decisiones comerciales</t>
  </si>
  <si>
    <t>Permitir exportar a PDF/Excel</t>
  </si>
  <si>
    <t>Necesito</t>
  </si>
  <si>
    <t>Encargado</t>
  </si>
  <si>
    <t>Status</t>
  </si>
  <si>
    <t>Horas</t>
  </si>
  <si>
    <t>Validar credenciales</t>
  </si>
  <si>
    <t>Garantizar acceso seguro</t>
  </si>
  <si>
    <t>—</t>
  </si>
  <si>
    <t>Requisito principal</t>
  </si>
  <si>
    <t>En proceso</t>
  </si>
  <si>
    <t>REQ001-1</t>
  </si>
  <si>
    <t>Implementar la lógica de autenticación de usuario</t>
  </si>
  <si>
    <t>Verificar credenciales contra BD</t>
  </si>
  <si>
    <t>Evitar accesos no autorizados</t>
  </si>
  <si>
    <t>Reishel Tipán</t>
  </si>
  <si>
    <t>Validar usuario activo</t>
  </si>
  <si>
    <t>2.5</t>
  </si>
  <si>
    <t>REQ001-2</t>
  </si>
  <si>
    <t>Gestionar mensajes de error y validaciones en el inicio de sesión</t>
  </si>
  <si>
    <t>Notificar errores de login</t>
  </si>
  <si>
    <t>Guiar al usuario</t>
  </si>
  <si>
    <t>Manejar “Usuario/contraseña incorrectos”</t>
  </si>
  <si>
    <t>Gestionar mensajes de error y validaciones</t>
  </si>
  <si>
    <t>REQ001-3</t>
  </si>
  <si>
    <t>Conectar la pantalla de inicio de sesión con el backend</t>
  </si>
  <si>
    <t>Integrar interfaz al servicio API</t>
  </si>
  <si>
    <t>Poder iniciar sesión</t>
  </si>
  <si>
    <t>Usar API REST</t>
  </si>
  <si>
    <t>Conectar pantalla login con backend</t>
  </si>
  <si>
    <t>REQ001-4</t>
  </si>
  <si>
    <t>Implementar pruebas unitarias para el módulo de inicio de sesión</t>
  </si>
  <si>
    <t>Probar lógica de autenticación</t>
  </si>
  <si>
    <t>Asegurar calidad</t>
  </si>
  <si>
    <t>Casos válidos y erróneos</t>
  </si>
  <si>
    <t>Pruebas unitarias módulo login</t>
  </si>
  <si>
    <t xml:space="preserve">Administrador / Cliente </t>
  </si>
  <si>
    <t>Administrador / Cliente</t>
  </si>
  <si>
    <t>Cambiar contraseña</t>
  </si>
  <si>
    <t>Mantener seguridad</t>
  </si>
  <si>
    <t>Ejecutado en primer ingreso</t>
  </si>
  <si>
    <t>REQ002-1</t>
  </si>
  <si>
    <t>Implementar la lógica de validación de contraseñas</t>
  </si>
  <si>
    <t>Admin/Cliente</t>
  </si>
  <si>
    <t>Revisar políticas</t>
  </si>
  <si>
    <t>Evitar claves débiles</t>
  </si>
  <si>
    <t>Daniel Guamán</t>
  </si>
  <si>
    <t>Mínimo 8 caracteres</t>
  </si>
  <si>
    <t>Validación de contraseñas</t>
  </si>
  <si>
    <t>REQ002-2</t>
  </si>
  <si>
    <t>Desarrollar la funcionalidad de actualización de contraseña en backend</t>
  </si>
  <si>
    <t>Guardar nueva contraseña</t>
  </si>
  <si>
    <t>Usar credenciales nuevas</t>
  </si>
  <si>
    <t>Incluir cifrado</t>
  </si>
  <si>
    <t>Actualización en backend</t>
  </si>
  <si>
    <t>REQ002-3</t>
  </si>
  <si>
    <t>Actualizar la base de datos para soportar el cambio de contraseña</t>
  </si>
  <si>
    <t>Soportar cambio</t>
  </si>
  <si>
    <t>Registrar fecha actualización</t>
  </si>
  <si>
    <t>Registrar histórico (opcional)</t>
  </si>
  <si>
    <t>Actualizar BD</t>
  </si>
  <si>
    <t xml:space="preserve"> </t>
  </si>
  <si>
    <t>REQ002-4</t>
  </si>
  <si>
    <t>Realizar pruebas unitarias y de integración para la modificación de contraseña</t>
  </si>
  <si>
    <t>Validar proceso completo</t>
  </si>
  <si>
    <t>Garantizar seguridad</t>
  </si>
  <si>
    <t>Simular casos fallidos</t>
  </si>
  <si>
    <t>Pruebas unitarias e integración</t>
  </si>
  <si>
    <t>Registrar producto</t>
  </si>
  <si>
    <t>Registrar datos del producto</t>
  </si>
  <si>
    <t>Mantener catálogo</t>
  </si>
  <si>
    <t>Implica manejo de imágenes</t>
  </si>
  <si>
    <t>REQ003-1</t>
  </si>
  <si>
    <t>Crear formulario</t>
  </si>
  <si>
    <t>Vista de ingreso</t>
  </si>
  <si>
    <t>Registrar productos</t>
  </si>
  <si>
    <t>Jairo Bonilla</t>
  </si>
  <si>
    <t>UI responsiva</t>
  </si>
  <si>
    <t>Admin</t>
  </si>
  <si>
    <t>REQ003-2</t>
  </si>
  <si>
    <t>Agregar validaciones visuales a los campos del formulario</t>
  </si>
  <si>
    <t>Confirmar campos</t>
  </si>
  <si>
    <t>Evitar errores</t>
  </si>
  <si>
    <t>Marcar campos obligatorios</t>
  </si>
  <si>
    <t>Validaciones visuales</t>
  </si>
  <si>
    <t>REQ003-3</t>
  </si>
  <si>
    <t>Asegurar la responsividad del formulario en diferentes dispositivos</t>
  </si>
  <si>
    <t>Adaptar dispositivos</t>
  </si>
  <si>
    <t>Mejor experiencia</t>
  </si>
  <si>
    <t>CSS + Grid</t>
  </si>
  <si>
    <t>Responsividad</t>
  </si>
  <si>
    <t>REQ003-4</t>
  </si>
  <si>
    <t>Gestionar la carga y almacenamiento de imágenes de productos</t>
  </si>
  <si>
    <t>Guardar imágenes</t>
  </si>
  <si>
    <t>Mostrar productos</t>
  </si>
  <si>
    <t>Limitar tamaño</t>
  </si>
  <si>
    <t>Carga y almacenamiento de imágenes</t>
  </si>
  <si>
    <t>REQ003-5</t>
  </si>
  <si>
    <t>Mostrar mensajes de éxito o error al registrar un producto</t>
  </si>
  <si>
    <t>Feedback</t>
  </si>
  <si>
    <t>Confirmar registro</t>
  </si>
  <si>
    <t>Alertas o modales</t>
  </si>
  <si>
    <t>Mensajes de éxito/error</t>
  </si>
  <si>
    <t>REQ003-6</t>
  </si>
  <si>
    <t>Realizar pruebas de carga y almacenamiento de imágenes</t>
  </si>
  <si>
    <t>Validar formatos</t>
  </si>
  <si>
    <t>Evitar archivos no válidos</t>
  </si>
  <si>
    <t>PNG/JPG</t>
  </si>
  <si>
    <t>Pruebas de carga de imágenes</t>
  </si>
  <si>
    <t>REQ003-7</t>
  </si>
  <si>
    <t>Realizar pruebas unitarias y de integración para registrar un nuevo producto</t>
  </si>
  <si>
    <t>Validar registro</t>
  </si>
  <si>
    <t>Garantizar calidad</t>
  </si>
  <si>
    <t>Mock de datos</t>
  </si>
  <si>
    <t>Pruebas unitarias/integración</t>
  </si>
  <si>
    <t>Consultar productos</t>
  </si>
  <si>
    <t>Buscar productos</t>
  </si>
  <si>
    <t>Localizar rápido</t>
  </si>
  <si>
    <t>Filtrar y paginar</t>
  </si>
  <si>
    <t>REQ004-1</t>
  </si>
  <si>
    <t>Implementar la lógica de filtrado de productos</t>
  </si>
  <si>
    <t>Buscar por criterio</t>
  </si>
  <si>
    <t>Encontrar producto</t>
  </si>
  <si>
    <t>Búsqueda parcial</t>
  </si>
  <si>
    <t>Implementar filtrado</t>
  </si>
  <si>
    <t>REQ004-2</t>
  </si>
  <si>
    <t>Conectar la interfaz con el backend de productos</t>
  </si>
  <si>
    <t>Integrar datos</t>
  </si>
  <si>
    <t>Listar productos</t>
  </si>
  <si>
    <t>API REST GET</t>
  </si>
  <si>
    <t>Conectar interfaz con backend</t>
  </si>
  <si>
    <t>REQ004-3</t>
  </si>
  <si>
    <t>Validar los parámetros de búsqueda</t>
  </si>
  <si>
    <t>Prevenir errores</t>
  </si>
  <si>
    <t>Mejorar precisión</t>
  </si>
  <si>
    <t>Filtrar nulos y límites</t>
  </si>
  <si>
    <t>Validar parámetros</t>
  </si>
  <si>
    <t>REQ004-4</t>
  </si>
  <si>
    <t>Diseñar pruebas unitarias para la consulta de productos</t>
  </si>
  <si>
    <t>Validar filtros</t>
  </si>
  <si>
    <t>Confirmar resultados</t>
  </si>
  <si>
    <t>Casos extremos</t>
  </si>
  <si>
    <t>Pruebas unitarias</t>
  </si>
  <si>
    <t>REQ004-5</t>
  </si>
  <si>
    <t>Documentar el endpoint de consulta de productos</t>
  </si>
  <si>
    <t>Detallar uso</t>
  </si>
  <si>
    <t>Facilitar mantenimiento</t>
  </si>
  <si>
    <t>OpenAPI / Swagger</t>
  </si>
  <si>
    <t>Documentar endpoint</t>
  </si>
  <si>
    <t>Estimado</t>
  </si>
  <si>
    <t>Día 5</t>
  </si>
  <si>
    <t>Día 4</t>
  </si>
  <si>
    <t>Día 3</t>
  </si>
  <si>
    <t>Día 2</t>
  </si>
  <si>
    <t>Día 1</t>
  </si>
  <si>
    <t>Total de Horas</t>
  </si>
  <si>
    <t>Horas Estimadas</t>
  </si>
  <si>
    <t>Horas Estimadas
Restantes</t>
  </si>
  <si>
    <t>Durante el proceso de desarrollo del producto software,CONCLUSION DEL ESFUERZO CALCULADO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</si>
</sst>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rgb="FFFF0000"/>
      <name val="Arial"/>
      <scheme val="minor"/>
    </font>
    <font>
      <b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3" fillId="2" borderId="2" xfId="0" applyFont="1" applyFill="1" applyBorder="1"/>
    <xf numFmtId="0" fontId="5" fillId="0" borderId="1" xfId="0" applyFont="1" applyBorder="1"/>
    <xf numFmtId="0" fontId="0" fillId="0" borderId="1" xfId="0" applyBorder="1"/>
    <xf numFmtId="0" fontId="0" fillId="0" borderId="2" xfId="0" applyBorder="1"/>
    <xf numFmtId="0" fontId="0" fillId="4" borderId="1" xfId="0" applyFill="1" applyBorder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4" fillId="6" borderId="3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0" fillId="6" borderId="3" xfId="0" applyFill="1" applyBorder="1" applyAlignment="1">
      <alignment horizontal="left" vertical="top" wrapText="1"/>
    </xf>
    <xf numFmtId="0" fontId="4" fillId="5" borderId="5" xfId="0" applyFont="1" applyFill="1" applyBorder="1" applyAlignment="1">
      <alignment vertical="top" wrapText="1"/>
    </xf>
    <xf numFmtId="0" fontId="0" fillId="5" borderId="6" xfId="0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5" borderId="4" xfId="0" applyFill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0" fillId="5" borderId="6" xfId="0" applyFill="1" applyBorder="1" applyAlignment="1">
      <alignment horizontal="right" vertical="top" wrapText="1"/>
    </xf>
    <xf numFmtId="0" fontId="4" fillId="6" borderId="1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0" fillId="5" borderId="8" xfId="0" applyFill="1" applyBorder="1" applyAlignment="1">
      <alignment horizontal="left" vertical="top" wrapText="1"/>
    </xf>
    <xf numFmtId="0" fontId="0" fillId="0" borderId="9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4" xfId="0" applyBorder="1"/>
    <xf numFmtId="0" fontId="0" fillId="3" borderId="4" xfId="0" applyFill="1" applyBorder="1"/>
    <xf numFmtId="0" fontId="0" fillId="4" borderId="4" xfId="0" applyFill="1" applyBorder="1"/>
    <xf numFmtId="0" fontId="2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1" xfId="0" applyFont="1" applyBorder="1"/>
    <xf numFmtId="0" fontId="0" fillId="0" borderId="0" xfId="0" applyAlignme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B4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burdonchart!$B$27:$H$27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27</c:v>
                </c:pt>
                <c:pt idx="3">
                  <c:v>19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burdonchart!$B$28:$H$28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24</c:v>
                </c:pt>
                <c:pt idx="3">
                  <c:v>18</c:v>
                </c:pt>
                <c:pt idx="4">
                  <c:v>12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200025</xdr:colOff>
      <xdr:row>0</xdr:row>
      <xdr:rowOff>28575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3"/>
  <sheetViews>
    <sheetView tabSelected="1" workbookViewId="0">
      <selection activeCell="H18" sqref="A1:H18"/>
    </sheetView>
  </sheetViews>
  <sheetFormatPr defaultColWidth="12.5703125" defaultRowHeight="15" customHeight="1"/>
  <cols>
    <col min="1" max="1" width="12.42578125" style="8" customWidth="1"/>
    <col min="2" max="2" width="30.28515625" style="8" customWidth="1"/>
    <col min="3" max="3" width="36" style="8" customWidth="1"/>
    <col min="4" max="4" width="41.42578125" style="8" customWidth="1"/>
    <col min="5" max="5" width="54.42578125" style="8" customWidth="1"/>
    <col min="6" max="6" width="38.42578125" style="8" customWidth="1"/>
    <col min="7" max="26" width="12.42578125" style="8" customWidth="1"/>
    <col min="27" max="16384" width="12.5703125" style="8"/>
  </cols>
  <sheetData>
    <row r="1" spans="1:26" ht="15.7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9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24">
      <c r="A2" s="41" t="s">
        <v>8</v>
      </c>
      <c r="B2" s="19" t="s">
        <v>9</v>
      </c>
      <c r="C2" s="19" t="s">
        <v>10</v>
      </c>
      <c r="D2" s="19" t="s">
        <v>11</v>
      </c>
      <c r="E2" s="19" t="s">
        <v>12</v>
      </c>
      <c r="F2" s="19" t="s">
        <v>13</v>
      </c>
      <c r="G2" s="19" t="s">
        <v>14</v>
      </c>
      <c r="H2" s="19" t="s">
        <v>15</v>
      </c>
      <c r="I2" s="13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4">
      <c r="A3" s="41" t="s">
        <v>16</v>
      </c>
      <c r="B3" s="19" t="s">
        <v>17</v>
      </c>
      <c r="C3" s="19" t="s">
        <v>10</v>
      </c>
      <c r="D3" s="19" t="s">
        <v>18</v>
      </c>
      <c r="E3" s="19" t="s">
        <v>19</v>
      </c>
      <c r="F3" s="19" t="s">
        <v>20</v>
      </c>
      <c r="G3" s="19" t="s">
        <v>14</v>
      </c>
      <c r="H3" s="19" t="s">
        <v>15</v>
      </c>
      <c r="I3" s="13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4">
      <c r="A4" s="41" t="s">
        <v>21</v>
      </c>
      <c r="B4" s="19" t="s">
        <v>22</v>
      </c>
      <c r="C4" s="19" t="s">
        <v>23</v>
      </c>
      <c r="D4" s="19" t="s">
        <v>24</v>
      </c>
      <c r="E4" s="19" t="s">
        <v>25</v>
      </c>
      <c r="F4" s="19" t="s">
        <v>26</v>
      </c>
      <c r="G4" s="19" t="s">
        <v>14</v>
      </c>
      <c r="H4" s="19" t="s">
        <v>15</v>
      </c>
      <c r="I4" s="9"/>
    </row>
    <row r="5" spans="1:26" ht="24">
      <c r="A5" s="41" t="s">
        <v>27</v>
      </c>
      <c r="B5" s="19" t="s">
        <v>28</v>
      </c>
      <c r="C5" s="19" t="s">
        <v>23</v>
      </c>
      <c r="D5" s="19" t="s">
        <v>29</v>
      </c>
      <c r="E5" s="19" t="s">
        <v>30</v>
      </c>
      <c r="F5" s="19" t="s">
        <v>31</v>
      </c>
      <c r="G5" s="19" t="s">
        <v>14</v>
      </c>
      <c r="H5" s="19" t="s">
        <v>15</v>
      </c>
      <c r="I5" s="9"/>
    </row>
    <row r="6" spans="1:26" ht="12.75">
      <c r="A6" s="41" t="s">
        <v>32</v>
      </c>
      <c r="B6" s="19" t="s">
        <v>33</v>
      </c>
      <c r="C6" s="19" t="s">
        <v>23</v>
      </c>
      <c r="D6" s="19" t="s">
        <v>34</v>
      </c>
      <c r="E6" s="19" t="s">
        <v>35</v>
      </c>
      <c r="F6" s="19" t="s">
        <v>36</v>
      </c>
      <c r="G6" s="19" t="s">
        <v>14</v>
      </c>
      <c r="H6" s="19" t="s">
        <v>15</v>
      </c>
      <c r="I6" s="9"/>
    </row>
    <row r="7" spans="1:26" ht="12.75">
      <c r="A7" s="41" t="s">
        <v>37</v>
      </c>
      <c r="B7" s="19" t="s">
        <v>38</v>
      </c>
      <c r="C7" s="19" t="s">
        <v>23</v>
      </c>
      <c r="D7" s="19" t="s">
        <v>39</v>
      </c>
      <c r="E7" s="19" t="s">
        <v>40</v>
      </c>
      <c r="F7" s="19" t="s">
        <v>41</v>
      </c>
      <c r="G7" s="19" t="s">
        <v>42</v>
      </c>
      <c r="H7" s="19" t="s">
        <v>15</v>
      </c>
      <c r="I7" s="9"/>
    </row>
    <row r="8" spans="1:26" ht="15.75" customHeight="1">
      <c r="A8" s="41" t="s">
        <v>43</v>
      </c>
      <c r="B8" s="19" t="s">
        <v>44</v>
      </c>
      <c r="C8" s="19" t="s">
        <v>23</v>
      </c>
      <c r="D8" s="19" t="s">
        <v>45</v>
      </c>
      <c r="E8" s="19" t="s">
        <v>46</v>
      </c>
      <c r="F8" s="19" t="s">
        <v>47</v>
      </c>
      <c r="G8" s="19" t="s">
        <v>42</v>
      </c>
      <c r="H8" s="19" t="s">
        <v>15</v>
      </c>
      <c r="I8" s="9"/>
    </row>
    <row r="9" spans="1:26" ht="15.75" customHeight="1">
      <c r="A9" s="41" t="s">
        <v>48</v>
      </c>
      <c r="B9" s="19" t="s">
        <v>49</v>
      </c>
      <c r="C9" s="19" t="s">
        <v>23</v>
      </c>
      <c r="D9" s="19" t="s">
        <v>50</v>
      </c>
      <c r="E9" s="19" t="s">
        <v>51</v>
      </c>
      <c r="F9" s="19" t="s">
        <v>52</v>
      </c>
      <c r="G9" s="19" t="s">
        <v>14</v>
      </c>
      <c r="H9" s="19" t="s">
        <v>15</v>
      </c>
      <c r="I9" s="9"/>
    </row>
    <row r="10" spans="1:26" ht="15.75" customHeight="1">
      <c r="A10" s="41" t="s">
        <v>53</v>
      </c>
      <c r="B10" s="19" t="s">
        <v>54</v>
      </c>
      <c r="C10" s="19" t="s">
        <v>55</v>
      </c>
      <c r="D10" s="19" t="s">
        <v>56</v>
      </c>
      <c r="E10" s="19" t="s">
        <v>57</v>
      </c>
      <c r="F10" s="19" t="s">
        <v>58</v>
      </c>
      <c r="G10" s="19" t="s">
        <v>14</v>
      </c>
      <c r="H10" s="19" t="s">
        <v>15</v>
      </c>
      <c r="I10" s="9"/>
    </row>
    <row r="11" spans="1:26" ht="15.75" customHeight="1">
      <c r="A11" s="41" t="s">
        <v>59</v>
      </c>
      <c r="B11" s="19" t="s">
        <v>60</v>
      </c>
      <c r="C11" s="19" t="s">
        <v>23</v>
      </c>
      <c r="D11" s="19" t="s">
        <v>61</v>
      </c>
      <c r="E11" s="19" t="s">
        <v>62</v>
      </c>
      <c r="F11" s="19" t="s">
        <v>63</v>
      </c>
      <c r="G11" s="19" t="s">
        <v>14</v>
      </c>
      <c r="H11" s="19" t="s">
        <v>15</v>
      </c>
      <c r="I11" s="9"/>
    </row>
    <row r="12" spans="1:26" ht="15.75" customHeight="1">
      <c r="A12" s="41" t="s">
        <v>64</v>
      </c>
      <c r="B12" s="19" t="s">
        <v>65</v>
      </c>
      <c r="C12" s="19" t="s">
        <v>23</v>
      </c>
      <c r="D12" s="19" t="s">
        <v>66</v>
      </c>
      <c r="E12" s="19" t="s">
        <v>67</v>
      </c>
      <c r="F12" s="19" t="s">
        <v>68</v>
      </c>
      <c r="G12" s="19" t="s">
        <v>42</v>
      </c>
      <c r="H12" s="19" t="s">
        <v>15</v>
      </c>
      <c r="I12" s="9"/>
    </row>
    <row r="13" spans="1:26" ht="15.75" customHeight="1">
      <c r="A13" s="41" t="s">
        <v>69</v>
      </c>
      <c r="B13" s="19" t="s">
        <v>70</v>
      </c>
      <c r="C13" s="19" t="s">
        <v>23</v>
      </c>
      <c r="D13" s="19" t="s">
        <v>71</v>
      </c>
      <c r="E13" s="19" t="s">
        <v>72</v>
      </c>
      <c r="F13" s="19" t="s">
        <v>73</v>
      </c>
      <c r="G13" s="19" t="s">
        <v>14</v>
      </c>
      <c r="H13" s="19" t="s">
        <v>15</v>
      </c>
      <c r="I13" s="9"/>
    </row>
    <row r="14" spans="1:26" ht="15.75" customHeight="1">
      <c r="A14" s="41" t="s">
        <v>74</v>
      </c>
      <c r="B14" s="19" t="s">
        <v>75</v>
      </c>
      <c r="C14" s="19" t="s">
        <v>23</v>
      </c>
      <c r="D14" s="19" t="s">
        <v>76</v>
      </c>
      <c r="E14" s="19" t="s">
        <v>77</v>
      </c>
      <c r="F14" s="19" t="s">
        <v>78</v>
      </c>
      <c r="G14" s="19" t="s">
        <v>42</v>
      </c>
      <c r="H14" s="19" t="s">
        <v>15</v>
      </c>
      <c r="I14" s="9"/>
    </row>
    <row r="15" spans="1:26" ht="15.75" customHeight="1">
      <c r="A15" s="41" t="s">
        <v>79</v>
      </c>
      <c r="B15" s="19" t="s">
        <v>80</v>
      </c>
      <c r="C15" s="19" t="s">
        <v>23</v>
      </c>
      <c r="D15" s="19" t="s">
        <v>81</v>
      </c>
      <c r="E15" s="19" t="s">
        <v>82</v>
      </c>
      <c r="F15" s="19" t="s">
        <v>83</v>
      </c>
      <c r="G15" s="19" t="s">
        <v>14</v>
      </c>
      <c r="H15" s="19" t="s">
        <v>15</v>
      </c>
      <c r="I15" s="9"/>
    </row>
    <row r="16" spans="1:26" ht="15.75" customHeight="1">
      <c r="A16" s="41" t="s">
        <v>84</v>
      </c>
      <c r="B16" s="4" t="s">
        <v>85</v>
      </c>
      <c r="C16" s="4" t="s">
        <v>23</v>
      </c>
      <c r="D16" s="4" t="s">
        <v>86</v>
      </c>
      <c r="E16" s="4" t="s">
        <v>87</v>
      </c>
      <c r="F16" s="4" t="s">
        <v>88</v>
      </c>
      <c r="G16" s="43" t="s">
        <v>42</v>
      </c>
      <c r="H16" s="4" t="s">
        <v>15</v>
      </c>
      <c r="I16" s="9"/>
    </row>
    <row r="17" spans="1:9" ht="15.75" customHeight="1">
      <c r="A17" s="41" t="s">
        <v>89</v>
      </c>
      <c r="B17" s="19" t="s">
        <v>90</v>
      </c>
      <c r="C17" s="19" t="s">
        <v>91</v>
      </c>
      <c r="D17" s="19" t="s">
        <v>92</v>
      </c>
      <c r="E17" s="19" t="s">
        <v>93</v>
      </c>
      <c r="F17" s="19" t="s">
        <v>94</v>
      </c>
      <c r="G17" s="19" t="s">
        <v>42</v>
      </c>
      <c r="H17" s="19" t="s">
        <v>15</v>
      </c>
      <c r="I17" s="9"/>
    </row>
    <row r="18" spans="1:9" ht="15.75" customHeight="1">
      <c r="A18" s="41" t="s">
        <v>95</v>
      </c>
      <c r="B18" s="19" t="s">
        <v>96</v>
      </c>
      <c r="C18" s="19" t="s">
        <v>23</v>
      </c>
      <c r="D18" s="19" t="s">
        <v>97</v>
      </c>
      <c r="E18" s="19" t="s">
        <v>98</v>
      </c>
      <c r="F18" s="19" t="s">
        <v>99</v>
      </c>
      <c r="G18" s="19" t="s">
        <v>42</v>
      </c>
      <c r="H18" s="19" t="s">
        <v>15</v>
      </c>
      <c r="I18" s="9"/>
    </row>
    <row r="19" spans="1:9" ht="15.75" customHeight="1">
      <c r="A19" s="9"/>
      <c r="B19" s="9"/>
      <c r="C19" s="9"/>
      <c r="D19" s="9"/>
      <c r="E19" s="9"/>
      <c r="F19" s="9"/>
      <c r="G19" s="9"/>
      <c r="H19" s="9"/>
    </row>
    <row r="20" spans="1:9" ht="15.75" customHeight="1">
      <c r="A20" s="42"/>
      <c r="B20" s="42"/>
      <c r="C20" s="42"/>
      <c r="D20" s="42"/>
      <c r="E20" s="42"/>
      <c r="F20" s="42"/>
      <c r="G20" s="42"/>
      <c r="H20" s="42"/>
    </row>
    <row r="21" spans="1:9" ht="15.75" customHeight="1"/>
    <row r="22" spans="1:9" ht="15.75" customHeight="1">
      <c r="B22" s="7"/>
      <c r="C22" s="7"/>
      <c r="D22" s="7"/>
      <c r="E22" s="7"/>
      <c r="F22" s="7"/>
      <c r="G22" s="7"/>
      <c r="H22" s="7"/>
      <c r="I22" s="7"/>
    </row>
    <row r="23" spans="1:9" ht="15.75" customHeight="1">
      <c r="B23"/>
      <c r="C23"/>
      <c r="D23"/>
      <c r="E23"/>
      <c r="F23"/>
      <c r="G23"/>
      <c r="H23" s="7"/>
      <c r="I23"/>
    </row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84"/>
  <sheetViews>
    <sheetView workbookViewId="0">
      <selection activeCell="E8" sqref="E8"/>
    </sheetView>
  </sheetViews>
  <sheetFormatPr defaultColWidth="12.5703125" defaultRowHeight="15" customHeight="1"/>
  <cols>
    <col min="1" max="2" width="12.42578125" style="8" customWidth="1"/>
    <col min="3" max="3" width="35.7109375" style="8" customWidth="1"/>
    <col min="4" max="4" width="20" style="8" customWidth="1"/>
    <col min="5" max="5" width="20.42578125" style="8" customWidth="1"/>
    <col min="6" max="6" width="56.140625" style="8" customWidth="1"/>
    <col min="7" max="27" width="12.42578125" style="8" customWidth="1"/>
    <col min="28" max="16384" width="12.5703125" style="8"/>
  </cols>
  <sheetData>
    <row r="1" spans="1:27" ht="15.75" customHeight="1"/>
    <row r="2" spans="1:27" ht="15.75" customHeight="1">
      <c r="B2" s="9"/>
      <c r="C2" s="9"/>
      <c r="D2" s="9"/>
      <c r="E2" s="9"/>
      <c r="F2" s="9"/>
      <c r="G2" s="9"/>
      <c r="H2" s="9"/>
      <c r="I2" s="9"/>
      <c r="J2" s="9"/>
      <c r="K2" s="9"/>
    </row>
    <row r="3" spans="1:27" ht="15.75" customHeight="1">
      <c r="A3" s="9"/>
      <c r="B3" s="10" t="s">
        <v>0</v>
      </c>
      <c r="C3" s="10" t="s">
        <v>1</v>
      </c>
      <c r="D3" s="10" t="s">
        <v>2</v>
      </c>
      <c r="E3" s="10" t="s">
        <v>100</v>
      </c>
      <c r="F3" s="10" t="s">
        <v>4</v>
      </c>
      <c r="G3" s="10" t="s">
        <v>101</v>
      </c>
      <c r="H3" s="10" t="s">
        <v>5</v>
      </c>
      <c r="I3" s="10" t="s">
        <v>6</v>
      </c>
      <c r="J3" s="10" t="s">
        <v>102</v>
      </c>
      <c r="K3" s="10" t="s">
        <v>103</v>
      </c>
      <c r="L3" s="9"/>
      <c r="N3" s="7" t="s">
        <v>0</v>
      </c>
      <c r="O3" s="7" t="s">
        <v>1</v>
      </c>
      <c r="P3" s="7" t="s">
        <v>2</v>
      </c>
      <c r="Q3" s="7" t="s">
        <v>100</v>
      </c>
      <c r="R3" s="7" t="s">
        <v>4</v>
      </c>
      <c r="S3" s="7" t="s">
        <v>101</v>
      </c>
      <c r="T3" s="7" t="s">
        <v>5</v>
      </c>
      <c r="U3" s="7" t="s">
        <v>6</v>
      </c>
      <c r="V3" s="7" t="s">
        <v>102</v>
      </c>
      <c r="W3" s="7" t="s">
        <v>103</v>
      </c>
    </row>
    <row r="4" spans="1:27" ht="15.75" customHeight="1">
      <c r="A4" s="9"/>
      <c r="B4" s="11" t="s">
        <v>8</v>
      </c>
      <c r="C4" s="12" t="s">
        <v>9</v>
      </c>
      <c r="D4" s="20" t="s">
        <v>23</v>
      </c>
      <c r="E4" s="21"/>
      <c r="F4" s="21"/>
      <c r="G4" s="21"/>
      <c r="H4" s="21"/>
      <c r="I4" s="21"/>
      <c r="J4" s="21"/>
      <c r="K4" s="26">
        <v>10</v>
      </c>
      <c r="L4" s="9"/>
      <c r="N4" s="7" t="s">
        <v>8</v>
      </c>
      <c r="O4" t="s">
        <v>9</v>
      </c>
      <c r="P4" t="s">
        <v>23</v>
      </c>
      <c r="Q4" t="s">
        <v>104</v>
      </c>
      <c r="R4" t="s">
        <v>105</v>
      </c>
      <c r="S4" t="s">
        <v>106</v>
      </c>
      <c r="T4" t="s">
        <v>107</v>
      </c>
      <c r="U4" t="s">
        <v>14</v>
      </c>
      <c r="V4" t="s">
        <v>108</v>
      </c>
      <c r="W4" s="7">
        <v>10</v>
      </c>
    </row>
    <row r="5" spans="1:27" ht="26.25" customHeight="1">
      <c r="A5" s="13"/>
      <c r="B5" s="14" t="s">
        <v>109</v>
      </c>
      <c r="C5" s="16" t="s">
        <v>110</v>
      </c>
      <c r="D5" s="19" t="s">
        <v>23</v>
      </c>
      <c r="E5" s="19" t="s">
        <v>111</v>
      </c>
      <c r="F5" s="19" t="s">
        <v>112</v>
      </c>
      <c r="G5" s="19" t="s">
        <v>113</v>
      </c>
      <c r="H5" s="19" t="s">
        <v>114</v>
      </c>
      <c r="I5" s="19" t="s">
        <v>14</v>
      </c>
      <c r="J5" s="19" t="s">
        <v>108</v>
      </c>
      <c r="K5" s="27">
        <v>3</v>
      </c>
      <c r="L5" s="13"/>
      <c r="M5" s="15"/>
      <c r="N5" t="s">
        <v>109</v>
      </c>
      <c r="O5" t="s">
        <v>110</v>
      </c>
      <c r="P5" t="s">
        <v>23</v>
      </c>
      <c r="Q5" t="s">
        <v>111</v>
      </c>
      <c r="R5" t="s">
        <v>112</v>
      </c>
      <c r="S5" t="s">
        <v>113</v>
      </c>
      <c r="T5" t="s">
        <v>114</v>
      </c>
      <c r="U5" t="s">
        <v>14</v>
      </c>
      <c r="V5" t="s">
        <v>108</v>
      </c>
      <c r="W5" s="7" t="s">
        <v>115</v>
      </c>
      <c r="X5" s="15"/>
      <c r="Y5" s="15"/>
      <c r="Z5" s="15"/>
      <c r="AA5" s="15"/>
    </row>
    <row r="6" spans="1:27" ht="16.5" customHeight="1">
      <c r="A6" s="13"/>
      <c r="B6" s="14" t="s">
        <v>116</v>
      </c>
      <c r="C6" s="16" t="s">
        <v>117</v>
      </c>
      <c r="D6" s="19" t="s">
        <v>23</v>
      </c>
      <c r="E6" s="19" t="s">
        <v>118</v>
      </c>
      <c r="F6" s="19" t="s">
        <v>119</v>
      </c>
      <c r="G6" s="19" t="s">
        <v>113</v>
      </c>
      <c r="H6" s="19" t="s">
        <v>120</v>
      </c>
      <c r="I6" s="19" t="s">
        <v>14</v>
      </c>
      <c r="J6" s="19" t="s">
        <v>108</v>
      </c>
      <c r="K6" s="27">
        <v>3</v>
      </c>
      <c r="L6" s="13"/>
      <c r="M6" s="15"/>
      <c r="N6" t="s">
        <v>116</v>
      </c>
      <c r="O6" t="s">
        <v>121</v>
      </c>
      <c r="P6" t="s">
        <v>23</v>
      </c>
      <c r="Q6" t="s">
        <v>118</v>
      </c>
      <c r="R6" t="s">
        <v>119</v>
      </c>
      <c r="S6" t="s">
        <v>113</v>
      </c>
      <c r="T6" t="s">
        <v>120</v>
      </c>
      <c r="U6" t="s">
        <v>14</v>
      </c>
      <c r="V6" t="s">
        <v>108</v>
      </c>
      <c r="W6" s="7" t="s">
        <v>115</v>
      </c>
      <c r="X6" s="15"/>
      <c r="Y6" s="15"/>
      <c r="Z6" s="15"/>
      <c r="AA6" s="15"/>
    </row>
    <row r="7" spans="1:27" ht="16.5" customHeight="1">
      <c r="A7" s="13"/>
      <c r="B7" s="14" t="s">
        <v>122</v>
      </c>
      <c r="C7" s="16" t="s">
        <v>123</v>
      </c>
      <c r="D7" s="19" t="s">
        <v>23</v>
      </c>
      <c r="E7" s="19" t="s">
        <v>124</v>
      </c>
      <c r="F7" s="19" t="s">
        <v>125</v>
      </c>
      <c r="G7" s="19" t="s">
        <v>113</v>
      </c>
      <c r="H7" s="19" t="s">
        <v>126</v>
      </c>
      <c r="I7" s="19" t="s">
        <v>14</v>
      </c>
      <c r="J7" s="19" t="s">
        <v>108</v>
      </c>
      <c r="K7" s="27">
        <v>2</v>
      </c>
      <c r="L7" s="13"/>
      <c r="M7" s="15"/>
      <c r="N7" t="s">
        <v>122</v>
      </c>
      <c r="O7" t="s">
        <v>127</v>
      </c>
      <c r="P7" t="s">
        <v>23</v>
      </c>
      <c r="Q7" t="s">
        <v>124</v>
      </c>
      <c r="R7" t="s">
        <v>125</v>
      </c>
      <c r="S7" t="s">
        <v>113</v>
      </c>
      <c r="T7" t="s">
        <v>126</v>
      </c>
      <c r="U7" t="s">
        <v>14</v>
      </c>
      <c r="V7" t="s">
        <v>108</v>
      </c>
      <c r="W7" s="7" t="s">
        <v>115</v>
      </c>
      <c r="X7" s="15"/>
      <c r="Y7" s="15"/>
      <c r="Z7" s="15"/>
      <c r="AA7" s="15"/>
    </row>
    <row r="8" spans="1:27" ht="16.5" customHeight="1">
      <c r="A8" s="13"/>
      <c r="B8" s="14" t="s">
        <v>128</v>
      </c>
      <c r="C8" s="16" t="s">
        <v>129</v>
      </c>
      <c r="D8" s="19" t="s">
        <v>23</v>
      </c>
      <c r="E8" s="19" t="s">
        <v>130</v>
      </c>
      <c r="F8" s="19" t="s">
        <v>131</v>
      </c>
      <c r="G8" s="19" t="s">
        <v>113</v>
      </c>
      <c r="H8" s="19" t="s">
        <v>132</v>
      </c>
      <c r="I8" s="19" t="s">
        <v>14</v>
      </c>
      <c r="J8" s="19" t="s">
        <v>108</v>
      </c>
      <c r="K8" s="27">
        <v>2</v>
      </c>
      <c r="L8" s="13"/>
      <c r="M8" s="15"/>
      <c r="N8" t="s">
        <v>128</v>
      </c>
      <c r="O8" t="s">
        <v>133</v>
      </c>
      <c r="P8" t="s">
        <v>23</v>
      </c>
      <c r="Q8" t="s">
        <v>130</v>
      </c>
      <c r="R8" t="s">
        <v>131</v>
      </c>
      <c r="S8" t="s">
        <v>113</v>
      </c>
      <c r="T8" t="s">
        <v>132</v>
      </c>
      <c r="U8" t="s">
        <v>14</v>
      </c>
      <c r="V8" t="s">
        <v>108</v>
      </c>
      <c r="W8" s="7" t="s">
        <v>115</v>
      </c>
      <c r="X8" s="15"/>
      <c r="Y8" s="15"/>
      <c r="Z8" s="15"/>
      <c r="AA8" s="15"/>
    </row>
    <row r="9" spans="1:27" ht="12.75">
      <c r="A9" s="13"/>
      <c r="B9" s="11" t="s">
        <v>16</v>
      </c>
      <c r="C9" s="12" t="s">
        <v>17</v>
      </c>
      <c r="D9" s="23" t="s">
        <v>134</v>
      </c>
      <c r="E9" s="24"/>
      <c r="F9" s="24"/>
      <c r="G9" s="24"/>
      <c r="H9" s="24"/>
      <c r="I9" s="24"/>
      <c r="J9" s="24"/>
      <c r="K9" s="28">
        <v>8</v>
      </c>
      <c r="L9" s="13"/>
      <c r="M9" s="15"/>
      <c r="N9" s="7" t="s">
        <v>16</v>
      </c>
      <c r="O9" t="s">
        <v>17</v>
      </c>
      <c r="P9" t="s">
        <v>135</v>
      </c>
      <c r="Q9" t="s">
        <v>136</v>
      </c>
      <c r="R9" t="s">
        <v>137</v>
      </c>
      <c r="S9" t="s">
        <v>106</v>
      </c>
      <c r="T9" t="s">
        <v>138</v>
      </c>
      <c r="U9" t="s">
        <v>14</v>
      </c>
      <c r="V9" t="s">
        <v>108</v>
      </c>
      <c r="W9" s="7">
        <v>8</v>
      </c>
      <c r="X9" s="15"/>
      <c r="Y9" s="15"/>
      <c r="Z9" s="15"/>
      <c r="AA9" s="15"/>
    </row>
    <row r="10" spans="1:27" ht="24">
      <c r="A10" s="13"/>
      <c r="B10" s="18" t="s">
        <v>139</v>
      </c>
      <c r="C10" s="17" t="s">
        <v>140</v>
      </c>
      <c r="D10" s="19" t="s">
        <v>141</v>
      </c>
      <c r="E10" s="19" t="s">
        <v>142</v>
      </c>
      <c r="F10" s="19" t="s">
        <v>143</v>
      </c>
      <c r="G10" s="19" t="s">
        <v>144</v>
      </c>
      <c r="H10" s="19" t="s">
        <v>145</v>
      </c>
      <c r="I10" s="19" t="s">
        <v>14</v>
      </c>
      <c r="J10" s="19" t="s">
        <v>108</v>
      </c>
      <c r="K10" s="27">
        <v>2</v>
      </c>
      <c r="L10" s="13"/>
      <c r="M10" s="15"/>
      <c r="N10" t="s">
        <v>139</v>
      </c>
      <c r="O10" t="s">
        <v>146</v>
      </c>
      <c r="P10" t="s">
        <v>141</v>
      </c>
      <c r="Q10" t="s">
        <v>142</v>
      </c>
      <c r="R10" t="s">
        <v>143</v>
      </c>
      <c r="S10" t="s">
        <v>144</v>
      </c>
      <c r="T10" t="s">
        <v>145</v>
      </c>
      <c r="U10" t="s">
        <v>14</v>
      </c>
      <c r="V10" t="s">
        <v>108</v>
      </c>
      <c r="W10" s="7">
        <v>2</v>
      </c>
      <c r="X10" s="15"/>
      <c r="Y10" s="15"/>
      <c r="Z10" s="15"/>
      <c r="AA10" s="15"/>
    </row>
    <row r="11" spans="1:27" ht="24">
      <c r="A11" s="13"/>
      <c r="B11" s="14" t="s">
        <v>147</v>
      </c>
      <c r="C11" s="17" t="s">
        <v>148</v>
      </c>
      <c r="D11" s="19" t="s">
        <v>141</v>
      </c>
      <c r="E11" s="19" t="s">
        <v>149</v>
      </c>
      <c r="F11" s="19" t="s">
        <v>150</v>
      </c>
      <c r="G11" s="19" t="s">
        <v>144</v>
      </c>
      <c r="H11" s="19" t="s">
        <v>151</v>
      </c>
      <c r="I11" s="19" t="s">
        <v>14</v>
      </c>
      <c r="J11" s="19" t="s">
        <v>108</v>
      </c>
      <c r="K11" s="27">
        <v>2</v>
      </c>
      <c r="L11" s="13"/>
      <c r="M11" s="15"/>
      <c r="N11" t="s">
        <v>147</v>
      </c>
      <c r="O11" t="s">
        <v>152</v>
      </c>
      <c r="P11" t="s">
        <v>141</v>
      </c>
      <c r="Q11" t="s">
        <v>149</v>
      </c>
      <c r="R11" t="s">
        <v>150</v>
      </c>
      <c r="S11" t="s">
        <v>144</v>
      </c>
      <c r="T11" t="s">
        <v>151</v>
      </c>
      <c r="U11" t="s">
        <v>14</v>
      </c>
      <c r="V11" t="s">
        <v>108</v>
      </c>
      <c r="W11" s="7">
        <v>2</v>
      </c>
      <c r="X11" s="15"/>
      <c r="Y11" s="15"/>
      <c r="Z11" s="15"/>
      <c r="AA11" s="15"/>
    </row>
    <row r="12" spans="1:27" ht="15.75" customHeight="1">
      <c r="A12" s="13"/>
      <c r="B12" s="14" t="s">
        <v>153</v>
      </c>
      <c r="C12" s="22" t="s">
        <v>154</v>
      </c>
      <c r="D12" s="19" t="s">
        <v>141</v>
      </c>
      <c r="E12" s="19" t="s">
        <v>155</v>
      </c>
      <c r="F12" s="19" t="s">
        <v>156</v>
      </c>
      <c r="G12" s="19" t="s">
        <v>144</v>
      </c>
      <c r="H12" s="19" t="s">
        <v>157</v>
      </c>
      <c r="I12" s="19" t="s">
        <v>14</v>
      </c>
      <c r="J12" s="19" t="s">
        <v>108</v>
      </c>
      <c r="K12" s="27">
        <v>2</v>
      </c>
      <c r="L12" s="13"/>
      <c r="M12" s="15"/>
      <c r="N12" t="s">
        <v>153</v>
      </c>
      <c r="O12" t="s">
        <v>158</v>
      </c>
      <c r="P12" t="s">
        <v>141</v>
      </c>
      <c r="Q12" t="s">
        <v>155</v>
      </c>
      <c r="R12" t="s">
        <v>156</v>
      </c>
      <c r="S12" t="s">
        <v>144</v>
      </c>
      <c r="T12" t="s">
        <v>157</v>
      </c>
      <c r="U12" t="s">
        <v>14</v>
      </c>
      <c r="V12" t="s">
        <v>108</v>
      </c>
      <c r="W12" s="7">
        <v>2</v>
      </c>
      <c r="X12" s="15"/>
      <c r="Y12" s="15"/>
      <c r="Z12" s="15"/>
      <c r="AA12" s="15"/>
    </row>
    <row r="13" spans="1:27" ht="15.75" customHeight="1">
      <c r="A13" s="13" t="s">
        <v>159</v>
      </c>
      <c r="B13" s="14" t="s">
        <v>160</v>
      </c>
      <c r="C13" s="16" t="s">
        <v>161</v>
      </c>
      <c r="D13" s="33" t="s">
        <v>141</v>
      </c>
      <c r="E13" s="19" t="s">
        <v>162</v>
      </c>
      <c r="F13" s="19" t="s">
        <v>163</v>
      </c>
      <c r="G13" s="19" t="s">
        <v>144</v>
      </c>
      <c r="H13" s="19" t="s">
        <v>164</v>
      </c>
      <c r="I13" s="19" t="s">
        <v>14</v>
      </c>
      <c r="J13" s="19" t="s">
        <v>108</v>
      </c>
      <c r="K13" s="27">
        <v>2</v>
      </c>
      <c r="L13" s="13"/>
      <c r="M13" s="15"/>
      <c r="N13" t="s">
        <v>160</v>
      </c>
      <c r="O13" t="s">
        <v>165</v>
      </c>
      <c r="P13" t="s">
        <v>141</v>
      </c>
      <c r="Q13" t="s">
        <v>162</v>
      </c>
      <c r="R13" t="s">
        <v>163</v>
      </c>
      <c r="S13" t="s">
        <v>144</v>
      </c>
      <c r="T13" t="s">
        <v>164</v>
      </c>
      <c r="U13" t="s">
        <v>14</v>
      </c>
      <c r="V13" t="s">
        <v>108</v>
      </c>
      <c r="W13" s="7">
        <v>2</v>
      </c>
      <c r="X13" s="15"/>
      <c r="Y13" s="15"/>
      <c r="Z13" s="15"/>
      <c r="AA13" s="15"/>
    </row>
    <row r="14" spans="1:27" ht="15.75" customHeight="1">
      <c r="A14" s="13"/>
      <c r="B14" s="11" t="s">
        <v>21</v>
      </c>
      <c r="C14" s="30" t="s">
        <v>22</v>
      </c>
      <c r="D14" s="12" t="s">
        <v>23</v>
      </c>
      <c r="E14" s="31"/>
      <c r="F14" s="24"/>
      <c r="G14" s="24"/>
      <c r="H14" s="24"/>
      <c r="I14" s="24"/>
      <c r="J14" s="24"/>
      <c r="K14" s="28">
        <v>6</v>
      </c>
      <c r="L14" s="13"/>
      <c r="M14" s="15"/>
      <c r="N14" s="7" t="s">
        <v>21</v>
      </c>
      <c r="O14" t="s">
        <v>166</v>
      </c>
      <c r="P14" t="s">
        <v>23</v>
      </c>
      <c r="Q14" t="s">
        <v>167</v>
      </c>
      <c r="R14" t="s">
        <v>168</v>
      </c>
      <c r="S14" t="s">
        <v>106</v>
      </c>
      <c r="T14" t="s">
        <v>169</v>
      </c>
      <c r="U14" t="s">
        <v>14</v>
      </c>
      <c r="V14" t="s">
        <v>15</v>
      </c>
      <c r="W14" s="7">
        <v>6</v>
      </c>
      <c r="X14" s="15"/>
      <c r="Y14" s="15"/>
      <c r="Z14" s="15"/>
      <c r="AA14" s="15"/>
    </row>
    <row r="15" spans="1:27" ht="15.75" customHeight="1">
      <c r="A15" s="13"/>
      <c r="B15" s="14" t="s">
        <v>170</v>
      </c>
      <c r="C15" s="16" t="s">
        <v>171</v>
      </c>
      <c r="D15" s="29" t="s">
        <v>23</v>
      </c>
      <c r="E15" s="32" t="s">
        <v>172</v>
      </c>
      <c r="F15" s="19" t="s">
        <v>173</v>
      </c>
      <c r="G15" s="19" t="s">
        <v>174</v>
      </c>
      <c r="H15" s="19" t="s">
        <v>175</v>
      </c>
      <c r="I15" s="19" t="s">
        <v>14</v>
      </c>
      <c r="J15" s="19" t="s">
        <v>15</v>
      </c>
      <c r="K15" s="27">
        <v>1</v>
      </c>
      <c r="L15" s="13"/>
      <c r="M15" s="15"/>
      <c r="N15" t="s">
        <v>170</v>
      </c>
      <c r="O15" t="s">
        <v>171</v>
      </c>
      <c r="P15" t="s">
        <v>176</v>
      </c>
      <c r="Q15" t="s">
        <v>172</v>
      </c>
      <c r="R15" t="s">
        <v>173</v>
      </c>
      <c r="S15" t="s">
        <v>174</v>
      </c>
      <c r="T15" t="s">
        <v>175</v>
      </c>
      <c r="U15" t="s">
        <v>14</v>
      </c>
      <c r="V15" t="s">
        <v>15</v>
      </c>
      <c r="W15" s="7">
        <v>1</v>
      </c>
      <c r="X15" s="15"/>
      <c r="Y15" s="15"/>
      <c r="Z15" s="15"/>
      <c r="AA15" s="15"/>
    </row>
    <row r="16" spans="1:27" ht="15.75" customHeight="1">
      <c r="A16" s="9"/>
      <c r="B16" s="14" t="s">
        <v>177</v>
      </c>
      <c r="C16" s="16" t="s">
        <v>178</v>
      </c>
      <c r="D16" s="29" t="s">
        <v>23</v>
      </c>
      <c r="E16" s="32" t="s">
        <v>179</v>
      </c>
      <c r="F16" s="19" t="s">
        <v>180</v>
      </c>
      <c r="G16" s="19" t="s">
        <v>174</v>
      </c>
      <c r="H16" s="19" t="s">
        <v>181</v>
      </c>
      <c r="I16" s="19" t="s">
        <v>14</v>
      </c>
      <c r="J16" s="19" t="s">
        <v>15</v>
      </c>
      <c r="K16" s="27">
        <v>1</v>
      </c>
      <c r="L16" s="9"/>
      <c r="N16" t="s">
        <v>177</v>
      </c>
      <c r="O16" t="s">
        <v>182</v>
      </c>
      <c r="P16" t="s">
        <v>176</v>
      </c>
      <c r="Q16" t="s">
        <v>179</v>
      </c>
      <c r="R16" t="s">
        <v>180</v>
      </c>
      <c r="S16" t="s">
        <v>174</v>
      </c>
      <c r="T16" t="s">
        <v>181</v>
      </c>
      <c r="U16" t="s">
        <v>14</v>
      </c>
      <c r="V16" t="s">
        <v>15</v>
      </c>
      <c r="W16" s="7">
        <v>1</v>
      </c>
    </row>
    <row r="17" spans="1:23" ht="15.75" customHeight="1">
      <c r="A17" s="9"/>
      <c r="B17" s="14" t="s">
        <v>183</v>
      </c>
      <c r="C17" s="16" t="s">
        <v>184</v>
      </c>
      <c r="D17" s="29" t="s">
        <v>23</v>
      </c>
      <c r="E17" s="32" t="s">
        <v>185</v>
      </c>
      <c r="F17" s="19" t="s">
        <v>186</v>
      </c>
      <c r="G17" s="19" t="s">
        <v>174</v>
      </c>
      <c r="H17" s="19" t="s">
        <v>187</v>
      </c>
      <c r="I17" s="19" t="s">
        <v>14</v>
      </c>
      <c r="J17" s="19" t="s">
        <v>15</v>
      </c>
      <c r="K17" s="27">
        <v>1</v>
      </c>
      <c r="L17" s="9"/>
      <c r="N17" t="s">
        <v>183</v>
      </c>
      <c r="O17" t="s">
        <v>188</v>
      </c>
      <c r="P17" t="s">
        <v>176</v>
      </c>
      <c r="Q17" t="s">
        <v>185</v>
      </c>
      <c r="R17" t="s">
        <v>186</v>
      </c>
      <c r="S17" t="s">
        <v>174</v>
      </c>
      <c r="T17" t="s">
        <v>187</v>
      </c>
      <c r="U17" t="s">
        <v>14</v>
      </c>
      <c r="V17" t="s">
        <v>15</v>
      </c>
      <c r="W17" s="7">
        <v>1</v>
      </c>
    </row>
    <row r="18" spans="1:23" ht="15.75" customHeight="1">
      <c r="A18" s="9"/>
      <c r="B18" s="14" t="s">
        <v>189</v>
      </c>
      <c r="C18" s="16" t="s">
        <v>190</v>
      </c>
      <c r="D18" s="29" t="s">
        <v>23</v>
      </c>
      <c r="E18" s="32" t="s">
        <v>191</v>
      </c>
      <c r="F18" s="19" t="s">
        <v>192</v>
      </c>
      <c r="G18" s="19" t="s">
        <v>174</v>
      </c>
      <c r="H18" s="19" t="s">
        <v>193</v>
      </c>
      <c r="I18" s="19" t="s">
        <v>14</v>
      </c>
      <c r="J18" s="19" t="s">
        <v>15</v>
      </c>
      <c r="K18" s="27">
        <v>1</v>
      </c>
      <c r="L18" s="9"/>
      <c r="N18" t="s">
        <v>189</v>
      </c>
      <c r="O18" t="s">
        <v>194</v>
      </c>
      <c r="P18" t="s">
        <v>176</v>
      </c>
      <c r="Q18" t="s">
        <v>191</v>
      </c>
      <c r="R18" t="s">
        <v>192</v>
      </c>
      <c r="S18" t="s">
        <v>174</v>
      </c>
      <c r="T18" t="s">
        <v>193</v>
      </c>
      <c r="U18" t="s">
        <v>14</v>
      </c>
      <c r="V18" t="s">
        <v>15</v>
      </c>
      <c r="W18" s="7">
        <v>1</v>
      </c>
    </row>
    <row r="19" spans="1:23" ht="15.75" customHeight="1">
      <c r="A19" s="9"/>
      <c r="B19" s="14" t="s">
        <v>195</v>
      </c>
      <c r="C19" s="16" t="s">
        <v>196</v>
      </c>
      <c r="D19" s="29" t="s">
        <v>23</v>
      </c>
      <c r="E19" s="32" t="s">
        <v>197</v>
      </c>
      <c r="F19" s="19" t="s">
        <v>198</v>
      </c>
      <c r="G19" s="19" t="s">
        <v>174</v>
      </c>
      <c r="H19" s="19" t="s">
        <v>199</v>
      </c>
      <c r="I19" s="19" t="s">
        <v>14</v>
      </c>
      <c r="J19" s="19" t="s">
        <v>15</v>
      </c>
      <c r="K19" s="27">
        <v>1</v>
      </c>
      <c r="L19" s="9"/>
      <c r="N19" t="s">
        <v>195</v>
      </c>
      <c r="O19" t="s">
        <v>200</v>
      </c>
      <c r="P19" t="s">
        <v>176</v>
      </c>
      <c r="Q19" t="s">
        <v>197</v>
      </c>
      <c r="R19" t="s">
        <v>198</v>
      </c>
      <c r="S19" t="s">
        <v>174</v>
      </c>
      <c r="T19" t="s">
        <v>199</v>
      </c>
      <c r="U19" t="s">
        <v>14</v>
      </c>
      <c r="V19" t="s">
        <v>15</v>
      </c>
      <c r="W19" s="7">
        <v>1</v>
      </c>
    </row>
    <row r="20" spans="1:23" ht="15.75" customHeight="1">
      <c r="A20" s="9"/>
      <c r="B20" s="14" t="s">
        <v>201</v>
      </c>
      <c r="C20" s="16" t="s">
        <v>202</v>
      </c>
      <c r="D20" s="29" t="s">
        <v>23</v>
      </c>
      <c r="E20" s="32" t="s">
        <v>203</v>
      </c>
      <c r="F20" s="19" t="s">
        <v>204</v>
      </c>
      <c r="G20" s="19" t="s">
        <v>174</v>
      </c>
      <c r="H20" s="19" t="s">
        <v>205</v>
      </c>
      <c r="I20" s="19" t="s">
        <v>14</v>
      </c>
      <c r="J20" s="19" t="s">
        <v>15</v>
      </c>
      <c r="K20" s="27">
        <v>1</v>
      </c>
      <c r="L20" s="9"/>
      <c r="N20" t="s">
        <v>201</v>
      </c>
      <c r="O20" t="s">
        <v>206</v>
      </c>
      <c r="P20" t="s">
        <v>176</v>
      </c>
      <c r="Q20" t="s">
        <v>203</v>
      </c>
      <c r="R20" t="s">
        <v>204</v>
      </c>
      <c r="S20" t="s">
        <v>174</v>
      </c>
      <c r="T20" t="s">
        <v>205</v>
      </c>
      <c r="U20" t="s">
        <v>14</v>
      </c>
      <c r="V20" t="s">
        <v>15</v>
      </c>
      <c r="W20" s="7">
        <v>1</v>
      </c>
    </row>
    <row r="21" spans="1:23" ht="15.75" customHeight="1">
      <c r="A21" s="9"/>
      <c r="B21" s="14" t="s">
        <v>207</v>
      </c>
      <c r="C21" s="16" t="s">
        <v>208</v>
      </c>
      <c r="D21" s="29" t="s">
        <v>23</v>
      </c>
      <c r="E21" s="32" t="s">
        <v>209</v>
      </c>
      <c r="F21" s="19" t="s">
        <v>210</v>
      </c>
      <c r="G21" s="19" t="s">
        <v>174</v>
      </c>
      <c r="H21" s="19" t="s">
        <v>211</v>
      </c>
      <c r="I21" s="19" t="s">
        <v>14</v>
      </c>
      <c r="J21" s="19" t="s">
        <v>15</v>
      </c>
      <c r="K21" s="27">
        <v>1</v>
      </c>
      <c r="L21" s="9"/>
      <c r="N21" t="s">
        <v>207</v>
      </c>
      <c r="O21" t="s">
        <v>212</v>
      </c>
      <c r="P21" t="s">
        <v>176</v>
      </c>
      <c r="Q21" t="s">
        <v>209</v>
      </c>
      <c r="R21" t="s">
        <v>210</v>
      </c>
      <c r="S21" t="s">
        <v>174</v>
      </c>
      <c r="T21" t="s">
        <v>211</v>
      </c>
      <c r="U21" t="s">
        <v>14</v>
      </c>
      <c r="V21" t="s">
        <v>15</v>
      </c>
      <c r="W21" s="7">
        <v>1</v>
      </c>
    </row>
    <row r="22" spans="1:23" ht="15.75" customHeight="1">
      <c r="A22" s="9"/>
      <c r="B22" s="11" t="s">
        <v>27</v>
      </c>
      <c r="C22" s="30" t="s">
        <v>28</v>
      </c>
      <c r="D22" s="12" t="s">
        <v>23</v>
      </c>
      <c r="E22" s="31"/>
      <c r="F22" s="24"/>
      <c r="G22" s="24"/>
      <c r="H22" s="24"/>
      <c r="I22" s="24"/>
      <c r="J22" s="24"/>
      <c r="K22" s="28">
        <v>5</v>
      </c>
      <c r="L22" s="9"/>
      <c r="N22" s="7" t="s">
        <v>27</v>
      </c>
      <c r="O22" t="s">
        <v>213</v>
      </c>
      <c r="P22" t="s">
        <v>23</v>
      </c>
      <c r="Q22" t="s">
        <v>214</v>
      </c>
      <c r="R22" t="s">
        <v>215</v>
      </c>
      <c r="S22" t="s">
        <v>106</v>
      </c>
      <c r="T22" t="s">
        <v>216</v>
      </c>
      <c r="U22" t="s">
        <v>14</v>
      </c>
      <c r="V22" t="s">
        <v>15</v>
      </c>
      <c r="W22" s="7">
        <v>5</v>
      </c>
    </row>
    <row r="23" spans="1:23" ht="15.75" customHeight="1">
      <c r="A23" s="9"/>
      <c r="B23" s="14" t="s">
        <v>217</v>
      </c>
      <c r="C23" s="16" t="s">
        <v>218</v>
      </c>
      <c r="D23" s="29" t="s">
        <v>23</v>
      </c>
      <c r="E23" s="32" t="s">
        <v>219</v>
      </c>
      <c r="F23" s="19" t="s">
        <v>220</v>
      </c>
      <c r="G23" s="19" t="s">
        <v>174</v>
      </c>
      <c r="H23" s="19" t="s">
        <v>221</v>
      </c>
      <c r="I23" s="19" t="s">
        <v>14</v>
      </c>
      <c r="J23" s="19" t="s">
        <v>15</v>
      </c>
      <c r="K23" s="27">
        <v>1</v>
      </c>
      <c r="L23" s="9"/>
      <c r="N23" t="s">
        <v>217</v>
      </c>
      <c r="O23" t="s">
        <v>222</v>
      </c>
      <c r="P23" t="s">
        <v>176</v>
      </c>
      <c r="Q23" t="s">
        <v>219</v>
      </c>
      <c r="R23" t="s">
        <v>220</v>
      </c>
      <c r="S23" t="s">
        <v>174</v>
      </c>
      <c r="T23" t="s">
        <v>221</v>
      </c>
      <c r="U23" t="s">
        <v>14</v>
      </c>
      <c r="V23" t="s">
        <v>15</v>
      </c>
      <c r="W23" s="7">
        <v>1</v>
      </c>
    </row>
    <row r="24" spans="1:23" ht="15.75" customHeight="1">
      <c r="A24" s="9"/>
      <c r="B24" s="14" t="s">
        <v>223</v>
      </c>
      <c r="C24" s="16" t="s">
        <v>224</v>
      </c>
      <c r="D24" s="29" t="s">
        <v>23</v>
      </c>
      <c r="E24" s="32" t="s">
        <v>225</v>
      </c>
      <c r="F24" s="19" t="s">
        <v>226</v>
      </c>
      <c r="G24" s="19" t="s">
        <v>174</v>
      </c>
      <c r="H24" s="19" t="s">
        <v>227</v>
      </c>
      <c r="I24" s="19" t="s">
        <v>14</v>
      </c>
      <c r="J24" s="19" t="s">
        <v>15</v>
      </c>
      <c r="K24" s="27">
        <v>1</v>
      </c>
      <c r="L24" s="9"/>
      <c r="N24" t="s">
        <v>223</v>
      </c>
      <c r="O24" t="s">
        <v>228</v>
      </c>
      <c r="P24" t="s">
        <v>176</v>
      </c>
      <c r="Q24" t="s">
        <v>225</v>
      </c>
      <c r="R24" t="s">
        <v>226</v>
      </c>
      <c r="S24" t="s">
        <v>174</v>
      </c>
      <c r="T24" t="s">
        <v>227</v>
      </c>
      <c r="U24" t="s">
        <v>14</v>
      </c>
      <c r="V24" t="s">
        <v>15</v>
      </c>
      <c r="W24" s="7">
        <v>1</v>
      </c>
    </row>
    <row r="25" spans="1:23" ht="15.75" customHeight="1">
      <c r="A25" s="9"/>
      <c r="B25" s="14" t="s">
        <v>229</v>
      </c>
      <c r="C25" s="25" t="s">
        <v>230</v>
      </c>
      <c r="D25" s="29" t="s">
        <v>23</v>
      </c>
      <c r="E25" s="32" t="s">
        <v>231</v>
      </c>
      <c r="F25" s="19" t="s">
        <v>232</v>
      </c>
      <c r="G25" s="19" t="s">
        <v>174</v>
      </c>
      <c r="H25" s="19" t="s">
        <v>233</v>
      </c>
      <c r="I25" s="19" t="s">
        <v>14</v>
      </c>
      <c r="J25" s="19" t="s">
        <v>15</v>
      </c>
      <c r="K25" s="27">
        <v>1</v>
      </c>
      <c r="L25" s="9"/>
      <c r="N25" t="s">
        <v>229</v>
      </c>
      <c r="O25" t="s">
        <v>234</v>
      </c>
      <c r="P25" t="s">
        <v>176</v>
      </c>
      <c r="Q25" t="s">
        <v>231</v>
      </c>
      <c r="R25" t="s">
        <v>232</v>
      </c>
      <c r="S25" t="s">
        <v>174</v>
      </c>
      <c r="T25" t="s">
        <v>233</v>
      </c>
      <c r="U25" t="s">
        <v>14</v>
      </c>
      <c r="V25" t="s">
        <v>15</v>
      </c>
      <c r="W25" s="7">
        <v>1</v>
      </c>
    </row>
    <row r="26" spans="1:23" ht="15.75" customHeight="1">
      <c r="A26" s="9"/>
      <c r="B26" s="14" t="s">
        <v>235</v>
      </c>
      <c r="C26" s="16" t="s">
        <v>236</v>
      </c>
      <c r="D26" s="29" t="s">
        <v>23</v>
      </c>
      <c r="E26" s="32" t="s">
        <v>237</v>
      </c>
      <c r="F26" s="19" t="s">
        <v>238</v>
      </c>
      <c r="G26" s="19" t="s">
        <v>174</v>
      </c>
      <c r="H26" s="19" t="s">
        <v>239</v>
      </c>
      <c r="I26" s="19" t="s">
        <v>14</v>
      </c>
      <c r="J26" s="19" t="s">
        <v>15</v>
      </c>
      <c r="K26" s="27">
        <v>1</v>
      </c>
      <c r="L26" s="9"/>
      <c r="N26" t="s">
        <v>235</v>
      </c>
      <c r="O26" t="s">
        <v>240</v>
      </c>
      <c r="P26" t="s">
        <v>176</v>
      </c>
      <c r="Q26" t="s">
        <v>237</v>
      </c>
      <c r="R26" t="s">
        <v>238</v>
      </c>
      <c r="S26" t="s">
        <v>174</v>
      </c>
      <c r="T26" t="s">
        <v>239</v>
      </c>
      <c r="U26" t="s">
        <v>14</v>
      </c>
      <c r="V26" t="s">
        <v>15</v>
      </c>
      <c r="W26" s="7">
        <v>1</v>
      </c>
    </row>
    <row r="27" spans="1:23" ht="15.75" customHeight="1">
      <c r="A27" s="9"/>
      <c r="B27" s="14" t="s">
        <v>241</v>
      </c>
      <c r="C27" s="16" t="s">
        <v>242</v>
      </c>
      <c r="D27" s="29" t="s">
        <v>23</v>
      </c>
      <c r="E27" s="32" t="s">
        <v>243</v>
      </c>
      <c r="F27" s="19" t="s">
        <v>244</v>
      </c>
      <c r="G27" s="19" t="s">
        <v>174</v>
      </c>
      <c r="H27" s="19" t="s">
        <v>245</v>
      </c>
      <c r="I27" s="19" t="s">
        <v>14</v>
      </c>
      <c r="J27" s="19" t="s">
        <v>15</v>
      </c>
      <c r="K27" s="27">
        <v>1</v>
      </c>
      <c r="L27" s="9"/>
      <c r="N27" t="s">
        <v>241</v>
      </c>
      <c r="O27" t="s">
        <v>246</v>
      </c>
      <c r="P27" t="s">
        <v>176</v>
      </c>
      <c r="Q27" t="s">
        <v>243</v>
      </c>
      <c r="R27" t="s">
        <v>244</v>
      </c>
      <c r="S27" t="s">
        <v>174</v>
      </c>
      <c r="T27" t="s">
        <v>245</v>
      </c>
      <c r="U27" t="s">
        <v>14</v>
      </c>
      <c r="V27" t="s">
        <v>15</v>
      </c>
      <c r="W27" s="7">
        <v>1</v>
      </c>
    </row>
    <row r="28" spans="1:23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23" ht="15.75" customHeight="1">
      <c r="A29" s="9"/>
      <c r="L29" s="9"/>
    </row>
    <row r="30" spans="1:23" ht="15.75" customHeight="1">
      <c r="A30" s="9"/>
      <c r="L30" s="9"/>
    </row>
    <row r="31" spans="1:23" ht="15.75" customHeight="1">
      <c r="A31" s="9"/>
      <c r="L31" s="9"/>
    </row>
    <row r="32" spans="1:23" ht="15.75" customHeight="1">
      <c r="A32" s="9"/>
      <c r="L32" s="9"/>
    </row>
    <row r="33" spans="2:11" ht="15.75" customHeight="1"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2:11" ht="15.75" customHeight="1"/>
    <row r="35" spans="2:11" ht="15.75" customHeight="1"/>
    <row r="36" spans="2:11" ht="15.75" customHeight="1"/>
    <row r="37" spans="2:11" ht="15.75" customHeight="1"/>
    <row r="38" spans="2:11" ht="15.75" customHeight="1"/>
    <row r="39" spans="2:11" ht="15.75" customHeight="1"/>
    <row r="40" spans="2:11" ht="15.75" customHeight="1"/>
    <row r="41" spans="2:11" ht="15.75" customHeight="1"/>
    <row r="42" spans="2:11" ht="15.75" customHeight="1"/>
    <row r="43" spans="2:11" ht="15.75" customHeight="1"/>
    <row r="44" spans="2:11" ht="15.75" customHeight="1"/>
    <row r="45" spans="2:11" ht="15.75" customHeight="1"/>
    <row r="46" spans="2:11" ht="15.75" customHeight="1"/>
    <row r="47" spans="2:11" ht="15.75" customHeight="1"/>
    <row r="48" spans="2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985"/>
  <sheetViews>
    <sheetView workbookViewId="0">
      <selection activeCell="L24" sqref="L24"/>
    </sheetView>
  </sheetViews>
  <sheetFormatPr defaultColWidth="12.5703125" defaultRowHeight="15" customHeight="1"/>
  <cols>
    <col min="1" max="1" width="12.42578125" customWidth="1"/>
    <col min="2" max="2" width="24.42578125" customWidth="1"/>
    <col min="3" max="26" width="12.42578125" customWidth="1"/>
  </cols>
  <sheetData>
    <row r="1" spans="1:10" ht="15.75" customHeight="1">
      <c r="B1" s="5"/>
      <c r="C1" s="5"/>
      <c r="D1" s="5"/>
      <c r="E1" s="5"/>
      <c r="F1" s="5"/>
      <c r="G1" s="5"/>
      <c r="H1" s="5"/>
      <c r="I1" s="5"/>
    </row>
    <row r="2" spans="1:10" ht="15.75" customHeight="1">
      <c r="A2" s="5"/>
      <c r="B2" s="3" t="s">
        <v>0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252</v>
      </c>
      <c r="I2" s="3" t="s">
        <v>253</v>
      </c>
      <c r="J2" s="5"/>
    </row>
    <row r="3" spans="1:10" ht="15.75" customHeight="1">
      <c r="A3" s="5"/>
      <c r="B3" s="34" t="s">
        <v>109</v>
      </c>
      <c r="C3" s="35">
        <v>3</v>
      </c>
      <c r="D3" s="34">
        <v>0</v>
      </c>
      <c r="E3" s="34">
        <v>1</v>
      </c>
      <c r="F3" s="34">
        <v>1</v>
      </c>
      <c r="G3" s="34">
        <v>1</v>
      </c>
      <c r="H3" s="34">
        <v>0</v>
      </c>
      <c r="I3" s="36">
        <v>3</v>
      </c>
      <c r="J3" s="5"/>
    </row>
    <row r="4" spans="1:10" ht="15.75" customHeight="1">
      <c r="A4" s="5"/>
      <c r="B4" s="4" t="s">
        <v>116</v>
      </c>
      <c r="C4" s="35">
        <v>3</v>
      </c>
      <c r="D4" s="4">
        <v>1</v>
      </c>
      <c r="E4" s="4">
        <v>1</v>
      </c>
      <c r="F4" s="4">
        <v>1</v>
      </c>
      <c r="G4" s="4">
        <v>0</v>
      </c>
      <c r="H4" s="4">
        <v>0</v>
      </c>
      <c r="I4" s="6">
        <v>3</v>
      </c>
      <c r="J4" s="5"/>
    </row>
    <row r="5" spans="1:10" ht="15.75" customHeight="1">
      <c r="A5" s="5"/>
      <c r="B5" s="4" t="s">
        <v>122</v>
      </c>
      <c r="C5" s="35">
        <v>2</v>
      </c>
      <c r="D5" s="4">
        <v>1</v>
      </c>
      <c r="E5" s="4">
        <v>1</v>
      </c>
      <c r="F5" s="4">
        <v>0</v>
      </c>
      <c r="G5" s="4">
        <v>0</v>
      </c>
      <c r="H5" s="4">
        <v>0</v>
      </c>
      <c r="I5" s="6">
        <v>2</v>
      </c>
      <c r="J5" s="5"/>
    </row>
    <row r="6" spans="1:10" ht="15.75" customHeight="1">
      <c r="A6" s="5"/>
      <c r="B6" s="4" t="s">
        <v>128</v>
      </c>
      <c r="C6" s="35">
        <v>2</v>
      </c>
      <c r="D6" s="4">
        <v>1</v>
      </c>
      <c r="E6" s="4">
        <v>1</v>
      </c>
      <c r="F6" s="4">
        <v>0</v>
      </c>
      <c r="G6" s="4">
        <v>0</v>
      </c>
      <c r="H6" s="4">
        <v>0</v>
      </c>
      <c r="I6" s="6">
        <v>2</v>
      </c>
      <c r="J6" s="5"/>
    </row>
    <row r="7" spans="1:10" ht="15.75" customHeight="1">
      <c r="A7" s="5"/>
      <c r="B7" s="4" t="s">
        <v>139</v>
      </c>
      <c r="C7" s="35">
        <v>2</v>
      </c>
      <c r="D7" s="4">
        <v>0</v>
      </c>
      <c r="E7" s="4">
        <v>1</v>
      </c>
      <c r="F7" s="4">
        <v>1</v>
      </c>
      <c r="G7" s="4">
        <v>0</v>
      </c>
      <c r="H7" s="4">
        <v>0</v>
      </c>
      <c r="I7" s="6">
        <v>2</v>
      </c>
      <c r="J7" s="5"/>
    </row>
    <row r="8" spans="1:10" ht="15.75" customHeight="1">
      <c r="A8" s="5"/>
      <c r="B8" s="4" t="s">
        <v>147</v>
      </c>
      <c r="C8" s="35">
        <v>2</v>
      </c>
      <c r="D8" s="4">
        <v>0</v>
      </c>
      <c r="E8" s="4">
        <v>1</v>
      </c>
      <c r="F8" s="4">
        <v>1</v>
      </c>
      <c r="G8" s="4">
        <v>0</v>
      </c>
      <c r="H8" s="4">
        <v>0</v>
      </c>
      <c r="I8" s="6">
        <v>2</v>
      </c>
      <c r="J8" s="5"/>
    </row>
    <row r="9" spans="1:10" ht="15.75" customHeight="1">
      <c r="A9" s="5"/>
      <c r="B9" s="4" t="s">
        <v>153</v>
      </c>
      <c r="C9" s="35">
        <v>2</v>
      </c>
      <c r="D9" s="4">
        <v>0</v>
      </c>
      <c r="E9" s="4">
        <v>1</v>
      </c>
      <c r="F9" s="4">
        <v>1</v>
      </c>
      <c r="G9" s="4">
        <v>0</v>
      </c>
      <c r="H9" s="4">
        <v>0</v>
      </c>
      <c r="I9" s="6">
        <v>2</v>
      </c>
      <c r="J9" s="5"/>
    </row>
    <row r="10" spans="1:10" ht="15.75" customHeight="1">
      <c r="A10" s="5"/>
      <c r="B10" s="4" t="s">
        <v>160</v>
      </c>
      <c r="C10" s="35">
        <v>2</v>
      </c>
      <c r="D10" s="4">
        <v>0</v>
      </c>
      <c r="E10" s="4">
        <v>1</v>
      </c>
      <c r="F10" s="4">
        <v>1</v>
      </c>
      <c r="G10" s="4">
        <v>0</v>
      </c>
      <c r="H10" s="4">
        <v>0</v>
      </c>
      <c r="I10" s="6">
        <v>2</v>
      </c>
      <c r="J10" s="5"/>
    </row>
    <row r="11" spans="1:10" ht="15.75" customHeight="1">
      <c r="A11" s="5"/>
      <c r="B11" s="4" t="s">
        <v>170</v>
      </c>
      <c r="C11" s="35">
        <v>1</v>
      </c>
      <c r="D11" s="4">
        <v>0</v>
      </c>
      <c r="E11" s="4">
        <v>0</v>
      </c>
      <c r="F11" s="4">
        <v>1</v>
      </c>
      <c r="G11" s="4">
        <v>0</v>
      </c>
      <c r="H11" s="4">
        <v>0</v>
      </c>
      <c r="I11" s="6">
        <v>1</v>
      </c>
      <c r="J11" s="5"/>
    </row>
    <row r="12" spans="1:10" ht="15.75" customHeight="1">
      <c r="A12" s="5"/>
      <c r="B12" s="4" t="s">
        <v>177</v>
      </c>
      <c r="C12" s="35">
        <v>1</v>
      </c>
      <c r="D12" s="4">
        <v>0</v>
      </c>
      <c r="E12" s="4">
        <v>0</v>
      </c>
      <c r="F12" s="4">
        <v>0</v>
      </c>
      <c r="G12" s="4">
        <v>1</v>
      </c>
      <c r="H12" s="4">
        <v>0</v>
      </c>
      <c r="I12" s="6">
        <v>1</v>
      </c>
      <c r="J12" s="5"/>
    </row>
    <row r="13" spans="1:10" ht="15.75" customHeight="1">
      <c r="A13" s="5"/>
      <c r="B13" s="4" t="s">
        <v>183</v>
      </c>
      <c r="C13" s="35">
        <v>1</v>
      </c>
      <c r="D13" s="4">
        <v>0</v>
      </c>
      <c r="E13" s="4">
        <v>0</v>
      </c>
      <c r="F13" s="4">
        <v>1</v>
      </c>
      <c r="G13" s="4">
        <v>0</v>
      </c>
      <c r="H13" s="4">
        <v>0</v>
      </c>
      <c r="I13" s="6">
        <v>1</v>
      </c>
      <c r="J13" s="5"/>
    </row>
    <row r="14" spans="1:10" ht="15.75" customHeight="1">
      <c r="A14" s="5"/>
      <c r="B14" s="4" t="s">
        <v>189</v>
      </c>
      <c r="C14" s="35">
        <v>1</v>
      </c>
      <c r="D14" s="4">
        <v>0</v>
      </c>
      <c r="E14" s="4">
        <v>0</v>
      </c>
      <c r="F14" s="4">
        <v>1</v>
      </c>
      <c r="G14" s="4">
        <v>0</v>
      </c>
      <c r="H14" s="4">
        <v>0</v>
      </c>
      <c r="I14" s="6">
        <v>1</v>
      </c>
      <c r="J14" s="5"/>
    </row>
    <row r="15" spans="1:10" ht="15.75" customHeight="1">
      <c r="A15" s="5"/>
      <c r="B15" s="4" t="s">
        <v>195</v>
      </c>
      <c r="C15" s="35">
        <v>1</v>
      </c>
      <c r="D15" s="4">
        <v>0</v>
      </c>
      <c r="E15" s="4">
        <v>0</v>
      </c>
      <c r="F15" s="4">
        <v>1</v>
      </c>
      <c r="G15" s="4">
        <v>0</v>
      </c>
      <c r="H15" s="4">
        <v>0</v>
      </c>
      <c r="I15" s="6">
        <v>1</v>
      </c>
      <c r="J15" s="5"/>
    </row>
    <row r="16" spans="1:10" ht="15.75" customHeight="1">
      <c r="A16" s="5"/>
      <c r="B16" s="4" t="s">
        <v>201</v>
      </c>
      <c r="C16" s="35">
        <v>1</v>
      </c>
      <c r="D16" s="4">
        <v>0</v>
      </c>
      <c r="E16" s="4">
        <v>0</v>
      </c>
      <c r="F16" s="4">
        <v>1</v>
      </c>
      <c r="G16" s="4">
        <v>0</v>
      </c>
      <c r="H16" s="4">
        <v>0</v>
      </c>
      <c r="I16" s="6">
        <v>1</v>
      </c>
      <c r="J16" s="5"/>
    </row>
    <row r="17" spans="1:18" ht="15.75" customHeight="1">
      <c r="A17" s="5"/>
      <c r="B17" s="4" t="s">
        <v>207</v>
      </c>
      <c r="C17" s="35">
        <v>1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6">
        <v>1</v>
      </c>
      <c r="J17" s="5"/>
    </row>
    <row r="18" spans="1:18" ht="15.75" customHeight="1">
      <c r="A18" s="5"/>
      <c r="B18" s="4" t="s">
        <v>217</v>
      </c>
      <c r="C18" s="35">
        <v>1</v>
      </c>
      <c r="D18" s="4">
        <v>0</v>
      </c>
      <c r="E18" s="4">
        <v>0</v>
      </c>
      <c r="F18" s="4">
        <v>1</v>
      </c>
      <c r="G18" s="4">
        <v>0</v>
      </c>
      <c r="H18" s="4">
        <v>0</v>
      </c>
      <c r="I18" s="6">
        <v>1</v>
      </c>
      <c r="J18" s="5"/>
    </row>
    <row r="19" spans="1:18" ht="15.75" customHeight="1">
      <c r="A19" s="5"/>
      <c r="B19" s="4" t="s">
        <v>223</v>
      </c>
      <c r="C19" s="35">
        <v>1</v>
      </c>
      <c r="D19" s="4">
        <v>0</v>
      </c>
      <c r="E19" s="4">
        <v>0</v>
      </c>
      <c r="F19" s="4">
        <v>1</v>
      </c>
      <c r="G19" s="4">
        <v>0</v>
      </c>
      <c r="H19" s="4">
        <v>0</v>
      </c>
      <c r="I19" s="6">
        <v>1</v>
      </c>
      <c r="J19" s="5"/>
    </row>
    <row r="20" spans="1:18" ht="15.75" customHeight="1">
      <c r="A20" s="5"/>
      <c r="B20" s="4" t="s">
        <v>229</v>
      </c>
      <c r="C20" s="35">
        <v>1</v>
      </c>
      <c r="D20" s="4">
        <v>0</v>
      </c>
      <c r="E20" s="4">
        <v>0</v>
      </c>
      <c r="F20" s="4">
        <v>0</v>
      </c>
      <c r="G20" s="4">
        <v>1</v>
      </c>
      <c r="H20" s="4">
        <v>0</v>
      </c>
      <c r="I20" s="6">
        <v>1</v>
      </c>
      <c r="J20" s="5"/>
    </row>
    <row r="21" spans="1:18" ht="15.75" customHeight="1">
      <c r="A21" s="5"/>
      <c r="B21" s="4" t="s">
        <v>235</v>
      </c>
      <c r="C21" s="35">
        <v>1</v>
      </c>
      <c r="D21" s="4">
        <v>0</v>
      </c>
      <c r="E21" s="4">
        <v>0</v>
      </c>
      <c r="F21" s="4">
        <v>1</v>
      </c>
      <c r="G21" s="4">
        <v>0</v>
      </c>
      <c r="H21" s="4">
        <v>0</v>
      </c>
      <c r="I21" s="6">
        <v>1</v>
      </c>
      <c r="J21" s="5"/>
    </row>
    <row r="22" spans="1:18" ht="15.75" customHeight="1">
      <c r="A22" s="5"/>
      <c r="B22" s="4" t="s">
        <v>241</v>
      </c>
      <c r="C22" s="35">
        <v>1</v>
      </c>
      <c r="D22" s="4">
        <v>0</v>
      </c>
      <c r="E22" s="4">
        <v>0</v>
      </c>
      <c r="F22" s="4">
        <v>1</v>
      </c>
      <c r="G22" s="4">
        <v>0</v>
      </c>
      <c r="H22" s="4">
        <v>0</v>
      </c>
      <c r="I22" s="6">
        <v>1</v>
      </c>
      <c r="J22" s="5"/>
    </row>
    <row r="23" spans="1:18" ht="15.75" customHeight="1">
      <c r="B23" s="5"/>
      <c r="C23" s="5"/>
      <c r="D23" s="5"/>
      <c r="E23" s="5"/>
      <c r="F23" s="5"/>
      <c r="G23" s="5"/>
      <c r="H23" s="5"/>
      <c r="I23" s="5"/>
    </row>
    <row r="24" spans="1:18" ht="15.75" customHeight="1"/>
    <row r="25" spans="1:18" ht="15.75" customHeight="1"/>
    <row r="26" spans="1:18" ht="15.75" customHeight="1"/>
    <row r="27" spans="1:18" ht="15.75" customHeight="1">
      <c r="B27" s="2" t="s">
        <v>254</v>
      </c>
      <c r="C27" s="1">
        <f>SUM(C3:C22)</f>
        <v>30</v>
      </c>
      <c r="D27" s="1">
        <f>C27-SUM(D3:D22)</f>
        <v>27</v>
      </c>
      <c r="E27" s="1">
        <f>D27-SUM(E3:E22)</f>
        <v>19</v>
      </c>
      <c r="F27" s="1">
        <f>E27-SUM(F3:F22)</f>
        <v>4</v>
      </c>
      <c r="G27" s="1">
        <f>F27-SUM(G3:G22)</f>
        <v>1</v>
      </c>
      <c r="H27" s="1">
        <f>G27-SUM(H3:H22)</f>
        <v>0</v>
      </c>
    </row>
    <row r="28" spans="1:18" ht="15.75" customHeight="1">
      <c r="B28" s="2" t="s">
        <v>255</v>
      </c>
      <c r="C28" s="1">
        <f>SUM(C3:C22)</f>
        <v>30</v>
      </c>
      <c r="D28" s="1">
        <f>C28-(SUM(C3:C22)/5)</f>
        <v>24</v>
      </c>
      <c r="E28" s="1">
        <f>D28-(SUM(C3:C22)/5)</f>
        <v>18</v>
      </c>
      <c r="F28" s="1">
        <f>E28-(SUM(C3:C22)/5)</f>
        <v>12</v>
      </c>
      <c r="G28" s="1">
        <f>F28-(SUM(C3:C22)/5)</f>
        <v>6</v>
      </c>
      <c r="H28" s="1">
        <f>G28-(SUM(C3:C22)/5)</f>
        <v>0</v>
      </c>
    </row>
    <row r="29" spans="1:18" ht="15.75" customHeight="1"/>
    <row r="30" spans="1:18" ht="15.75" customHeight="1">
      <c r="K30" s="7"/>
      <c r="L30" s="7"/>
      <c r="M30" s="7"/>
      <c r="N30" s="7"/>
      <c r="O30" s="7"/>
      <c r="P30" s="7"/>
      <c r="Q30" s="7"/>
      <c r="R30" s="7"/>
    </row>
    <row r="31" spans="1:18" ht="15.75" customHeight="1"/>
    <row r="32" spans="1:18" ht="15.75" customHeight="1">
      <c r="B32" s="37" t="s">
        <v>256</v>
      </c>
      <c r="C32" s="44"/>
      <c r="D32" s="44"/>
      <c r="E32" s="44"/>
      <c r="F32" s="44"/>
      <c r="G32" s="44"/>
    </row>
    <row r="33" spans="2:7" ht="15.75" customHeight="1">
      <c r="B33" s="44"/>
      <c r="C33" s="44"/>
      <c r="D33" s="44"/>
      <c r="E33" s="44"/>
      <c r="F33" s="44"/>
      <c r="G33" s="44"/>
    </row>
    <row r="34" spans="2:7" ht="15.75" customHeight="1">
      <c r="B34" s="44"/>
      <c r="C34" s="44"/>
      <c r="D34" s="44"/>
      <c r="E34" s="44"/>
      <c r="F34" s="44"/>
      <c r="G34" s="44"/>
    </row>
    <row r="35" spans="2:7" ht="15.75" customHeight="1">
      <c r="B35" s="44"/>
      <c r="C35" s="44"/>
      <c r="D35" s="44"/>
      <c r="E35" s="44"/>
      <c r="F35" s="44"/>
      <c r="G35" s="44"/>
    </row>
    <row r="36" spans="2:7" ht="15.75" customHeight="1">
      <c r="B36" s="44"/>
      <c r="C36" s="44"/>
      <c r="D36" s="44"/>
      <c r="E36" s="44"/>
      <c r="F36" s="44"/>
      <c r="G36" s="44"/>
    </row>
    <row r="37" spans="2:7" ht="15.75" customHeight="1">
      <c r="B37" s="44"/>
      <c r="C37" s="44"/>
      <c r="D37" s="44"/>
      <c r="E37" s="44"/>
      <c r="F37" s="44"/>
      <c r="G37" s="44"/>
    </row>
    <row r="38" spans="2:7" ht="15.75" customHeight="1">
      <c r="B38" s="44"/>
      <c r="C38" s="44"/>
      <c r="D38" s="44"/>
      <c r="E38" s="44"/>
      <c r="F38" s="44"/>
      <c r="G38" s="44"/>
    </row>
    <row r="39" spans="2:7" ht="15.75" customHeight="1">
      <c r="B39" s="44"/>
      <c r="C39" s="44"/>
      <c r="D39" s="44"/>
      <c r="E39" s="44"/>
      <c r="F39" s="44"/>
      <c r="G39" s="44"/>
    </row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B32:G39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/>
  <cp:revision/>
  <dcterms:created xsi:type="dcterms:W3CDTF">2023-06-05T13:12:31Z</dcterms:created>
  <dcterms:modified xsi:type="dcterms:W3CDTF">2025-12-04T14:53:02Z</dcterms:modified>
  <cp:category/>
  <cp:contentStatus/>
</cp:coreProperties>
</file>