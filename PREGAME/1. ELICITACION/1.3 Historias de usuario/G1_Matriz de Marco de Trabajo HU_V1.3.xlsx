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ishel\Downloads\"/>
    </mc:Choice>
  </mc:AlternateContent>
  <xr:revisionPtr revIDLastSave="0" documentId="13_ncr:1_{E0BE97B5-F599-4124-9767-0FDAE1C86B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L22" i="2"/>
  <c r="M15" i="2"/>
  <c r="E22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<sst xmlns="http://schemas.openxmlformats.org/spreadsheetml/2006/main" count="241" uniqueCount="179">
  <si>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</si>
  <si>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</si>
  <si>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</si>
  <si>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</si>
  <si>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</si>
  <si>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</si>
  <si>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</si>
  <si>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</si>
  <si>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</si>
  <si>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</si>
  <si>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</si>
  <si>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</si>
  <si>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</si>
  <si>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</si>
  <si>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</si>
  <si>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</si>
  <si>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administrador no tiene un lugar central para registrar productos.</t>
  </si>
  <si>
    <t>Registrar nombre, precio, categoría, material, color e imagen del producto.</t>
  </si>
  <si>
    <t>Para mantener un catálogo de productos actualizado y listo para mostrar a los clientes.</t>
  </si>
  <si>
    <t>Administrador</t>
  </si>
  <si>
    <t>Desde el menú Catálogo, seleccionar “Añadir producto”, ingresar todos los campos obligatorios y guardar.</t>
  </si>
  <si>
    <t>Jairo Bonilla</t>
  </si>
  <si>
    <t>Alta</t>
  </si>
  <si>
    <t>No iniciado</t>
  </si>
  <si>
    <t>Si faltan campos obligatorios se muestran en rojo con mensaje de error; si todo es correcto, el producto aparece en la lista de catálogo.</t>
  </si>
  <si>
    <t>Validar formato de precio y peso de la imagen.</t>
  </si>
  <si>
    <t>REQ002</t>
  </si>
  <si>
    <t>El administrador no puede encontrar fácilmente un producto específico.</t>
  </si>
  <si>
    <t>Permitir consultar productos por nombre, categoría, material, color o rango de precio.</t>
  </si>
  <si>
    <t>Para localizar rápidamente productos y poder gestionarlos o mostrarlos a los clientes.</t>
  </si>
  <si>
    <t>Abrir pantalla de “Consultar productos”, ingresar filtros de búsqueda y mostrar resultados en tabla.</t>
  </si>
  <si>
    <t>Al ingresar un criterio de búsqueda se muestran sólo los productos que cumplen el filtro en una tabla paginada.</t>
  </si>
  <si>
    <t>Considerar búsqueda por texto parcial en el nombre.</t>
  </si>
  <si>
    <t>REQ003</t>
  </si>
  <si>
    <t>Los datos de productos quedan desactualizados y no se pueden corregir fácilmente.</t>
  </si>
  <si>
    <t>Modificar la información de un producto existente.</t>
  </si>
  <si>
    <t>Para mantener datos correctos de precio, stock y características.</t>
  </si>
  <si>
    <t>Buscar el producto, seleccionar “Editar”, actualizar los datos necesarios y guardar cambios.</t>
  </si>
  <si>
    <t>Al modificar un campo y guardar, el producto se actualiza y la nueva información se ve en la tabla de catálogo.</t>
  </si>
  <si>
    <t>Registrar fecha de última modificación.</t>
  </si>
  <si>
    <t>REQ004</t>
  </si>
  <si>
    <t>Existen productos obsoletos que siguen apareciendo en el catálogo.</t>
  </si>
  <si>
    <t>Eliminar un producto del catálogo.</t>
  </si>
  <si>
    <t>Para evitar mostrar productos que ya no se venden.</t>
  </si>
  <si>
    <t>Buscar el producto, seleccionar “Eliminar”, confirmar la acción en un cuadro de diálogo.</t>
  </si>
  <si>
    <t>Media</t>
  </si>
  <si>
    <t>Al confirmar la eliminación, el producto deja de mostrarse en las búsquedas y listas del catálogo.</t>
  </si>
  <si>
    <t>Agregar mensaje de confirmación clara antes de borrar.</t>
  </si>
  <si>
    <t>REQ005</t>
  </si>
  <si>
    <t>Las ofertas no están controladas y se aplican de forma manual.</t>
  </si>
  <si>
    <t>Registrar, modificar y eliminar ofertas asociadas a productos.</t>
  </si>
  <si>
    <t>Para aplicar descuentos controlados y evitar errores de cálculo.</t>
  </si>
  <si>
    <t>Ingresar a “Gestionar ofertas”, seleccionar productos, definir porcentaje o monto de descuento y vigencia.</t>
  </si>
  <si>
    <t>Kevin Amaguaña</t>
  </si>
  <si>
    <t>Al crear una oferta, el producto muestra el precio con descuento; al expirar la fecha de vigencia, vuelve al precio normal.</t>
  </si>
  <si>
    <t>Validar fechas de inicio y fin de la oferta.</t>
  </si>
  <si>
    <t>REQ006</t>
  </si>
  <si>
    <t>Las proformas se hacen de forma manual y se cometen errores de cálculo.</t>
  </si>
  <si>
    <t>Generar una proforma con datos de cliente, productos y ofertas.</t>
  </si>
  <si>
    <t>Para emitir proformas claras con cálculo automático de subtotal, impuestos y total.</t>
  </si>
  <si>
    <t>Desde “Generar proforma”, ingresar datos del cliente, agregar productos, aplicar ofertas y guardar la proforma.</t>
  </si>
  <si>
    <t>Al crear la proforma, el sistema calcula subtotal, impuestos y total; se guarda con un número único y se puede visualizar.</t>
  </si>
  <si>
    <t>Definir formato estándar de numeración de proforma.</t>
  </si>
  <si>
    <t>Generar proforma</t>
  </si>
  <si>
    <t>REQ007</t>
  </si>
  <si>
    <t>No se pueden corregir proformas con errores de datos.</t>
  </si>
  <si>
    <t>Permitir actualizar datos de una proforma existente.</t>
  </si>
  <si>
    <t>Para corregir información de cliente, productos o cantidades sin crear una nueva proforma.</t>
  </si>
  <si>
    <t>Buscar la proforma, abrirla en modo edición, modificar datos permitidos y guardar cambios.</t>
  </si>
  <si>
    <t>Al guardar los cambios, la proforma se actualiza y los totales se recalculan automáticamente.</t>
  </si>
  <si>
    <t>Registrar historial mínimo de cambios.</t>
  </si>
  <si>
    <t>REQ008</t>
  </si>
  <si>
    <t>Es difícil localizar una proforma específica cuando el cliente la solicita.</t>
  </si>
  <si>
    <t>Consultar proformas por número, cliente o rango de fechas.</t>
  </si>
  <si>
    <t>Para encontrar rápidamente proformas emitidas en el sistema.</t>
  </si>
  <si>
    <t>Abrir “Consultar proformas”, ingresar criterios de búsqueda y visualizar resultados en una tabla.</t>
  </si>
  <si>
    <t>Daniel Guamán</t>
  </si>
  <si>
    <t>Al aplicar un filtro, sólo se muestran las proformas que cumplen los criterios; se puede abrir el detalle de cada una.</t>
  </si>
  <si>
    <t>Incluir orden por fecha y total.</t>
  </si>
  <si>
    <t>REQ009</t>
  </si>
  <si>
    <t>Proformas obsoletas o anuladas siguen apareciendo como válidas.</t>
  </si>
  <si>
    <t>Eliminar una proforma que ya no debe ser usada.</t>
  </si>
  <si>
    <t>Para evitar usar proformas erróneas o anuladas en procesos posteriores.</t>
  </si>
  <si>
    <t>Buscar la proforma, seleccionar “Eliminar” y confirmar la acción.</t>
  </si>
  <si>
    <t>Tras la confirmación, la proforma deja de mostrarse en las consultas y no puede ser usada en reportes.</t>
  </si>
  <si>
    <t>Definir si se elimina lógicamente (estado “Anulada”).</t>
  </si>
  <si>
    <t>Eliminar proforma</t>
  </si>
  <si>
    <t>REQ010</t>
  </si>
  <si>
    <t>No se pueden enviar proformas de forma profesional al cliente.</t>
  </si>
  <si>
    <t>Exportar una proforma a PDF y Excel.</t>
  </si>
  <si>
    <t>Para compartir la proforma con el cliente o archivarla en otros sistemas.</t>
  </si>
  <si>
    <t>Desde el detalle de la proforma, seleccionar “Exportar”, elegir formato (PDF o Excel) y descargar el archivo.</t>
  </si>
  <si>
    <t>Al exportar, se genera un archivo con todos los datos de la proforma y el formato definido (logo, datos de empresa, totales).</t>
  </si>
  <si>
    <t>Probar descarga en distintos navegadores.</t>
  </si>
  <si>
    <t>Exportar proforma a PDF/Excel</t>
  </si>
  <si>
    <t>REQ011</t>
  </si>
  <si>
    <t>No hay una visión global de las ventas por proforma.</t>
  </si>
  <si>
    <t>Generar reportes de proformas por mes, año o cliente.</t>
  </si>
  <si>
    <t>Para analizar el comportamiento de ventas y tomar decisiones comerciales.</t>
  </si>
  <si>
    <t>Ingresar a “Reportes”, seleccionar tipo de reporte (mensual, anual, por cliente) y mostrar datos en tabla y gráfico.</t>
  </si>
  <si>
    <t>Reishel Tipán</t>
  </si>
  <si>
    <t>Al seleccionar un rango de fechas, se muestra el total de proformas, sumatoria de montos y gráfico correspondiente.</t>
  </si>
  <si>
    <t>Exportar reporte a PDF y/o Excel.</t>
  </si>
  <si>
    <t>Reporte de proformas</t>
  </si>
  <si>
    <t>REQ012</t>
  </si>
  <si>
    <t>El cliente no puede ver fácilmente el catálogo de productos.</t>
  </si>
  <si>
    <t>Visualizar catálogo de productos con filtros básicos.</t>
  </si>
  <si>
    <t>Para que el cliente conozca los productos disponibles sin depender del administrador.</t>
  </si>
  <si>
    <t>Cliente</t>
  </si>
  <si>
    <t>Entrar al módulo público, ver la lista de productos y filtrar por categoría, material o rango de precio.</t>
  </si>
  <si>
    <t>Al aplicar filtros, la lista muestra sólo los productos que los cumplen; se puede abrir el detalle de cada producto.</t>
  </si>
  <si>
    <t>Optimizar para uso en dispositivos móviles.</t>
  </si>
  <si>
    <t>REQ013</t>
  </si>
  <si>
    <t>Es complicado compartir el catálogo por redes sociales o en tienda física.</t>
  </si>
  <si>
    <t>Compartir el catálogo mediante redes sociales y código QR.</t>
  </si>
  <si>
    <t>Para facilitar la difusión del catálogo y atraer más clientes.</t>
  </si>
  <si>
    <t>Cliente / Administrador</t>
  </si>
  <si>
    <t>Desde la vista de catálogo, seleccionar opción de “Compartir” para generar enlace y QR; publicar en redes o mostrar al cliente.</t>
  </si>
  <si>
    <t>Al pulsar “Compartir”, se genera un enlace funcional y un código QR que abre el catálogo en el navegador del dispositivo.</t>
  </si>
  <si>
    <t>Verificar lectura del QR desde distintos teléfonos.</t>
  </si>
  <si>
    <t>Compartir catálogo de MUEBLERIX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</si>
  <si>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</si>
  <si>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</si>
  <si>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</si>
  <si>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</si>
  <si>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</si>
  <si>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</si>
  <si>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</si>
  <si>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</si>
  <si>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</si>
  <si>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</si>
  <si>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</si>
  <si>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</si>
  <si>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</si>
  <si>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</si>
  <si>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 </t>
  </si>
  <si>
    <t>REQ014</t>
  </si>
  <si>
    <t>REQ015</t>
  </si>
  <si>
    <t>El usuario no puede cambiar su contraseña actual dentro del sistema.</t>
  </si>
  <si>
    <t>Permitir modificar la contraseña actual por una nueva.</t>
  </si>
  <si>
    <t>Garantizar seguridad y control de acceso en el sistema.</t>
  </si>
  <si>
    <t>Administrador / Empleado</t>
  </si>
  <si>
    <t>Acceder a "Modificar contraseña", ingresar contraseña actual, nueva y confirmación, y guardar cambios.</t>
  </si>
  <si>
    <t>Administrador o Empleado</t>
  </si>
  <si>
    <t>(Asignar)</t>
  </si>
  <si>
    <t>Se valida contraseña actual; nueva cumple políticas; confirmación coincide; mensaje “Contraseña actualizada correctamente”.</t>
  </si>
  <si>
    <t>La contraseña debe cifrarse antes de guardar.</t>
  </si>
  <si>
    <t>Los usuarios no pueden acceder al sistema si no existe un módulo de inicio de sesión.</t>
  </si>
  <si>
    <t>Solicitar usuario y contraseña para validar acceso.</t>
  </si>
  <si>
    <t>Controlar el ingreso seguro al sistema según rol.</t>
  </si>
  <si>
    <t>Ingresar usuario y contraseña en la pantalla de inicio, presionar “Iniciar sesión” y ser redirigido al menú principal.</t>
  </si>
  <si>
    <t>Si las credenciales son válidas, el sistema redirige al tablero según rol; si no, muestra “Usuario o contraseña incorrectos”.</t>
  </si>
  <si>
    <t>Tras 3 intentos fallidos bloquear acceso temporal.</t>
  </si>
  <si>
    <t xml:space="preserve">Iniciar sesión </t>
  </si>
  <si>
    <t>Modificar contraseña</t>
  </si>
  <si>
    <t>REQ016</t>
  </si>
  <si>
    <t>Restaurar producto</t>
  </si>
  <si>
    <t>Los productos eliminados ya no pueden recuperarse y se pierde información.</t>
  </si>
  <si>
    <t>Restaurar productos previamente eliminados.</t>
  </si>
  <si>
    <t>Recuperar información del producto y reintegrarlo al catálogo para su uso.</t>
  </si>
  <si>
    <t>Acceder a “Bandeja de Eliminados”, seleccionar producto, confirmar restauración y actualizar estado a activo.</t>
  </si>
  <si>
    <t>Se valida que el producto no exista duplicado y se muestre mensaje “Producto restaurado correctamente”.</t>
  </si>
  <si>
    <t>Registrar en historial fecha, hora y usuario responsable.</t>
  </si>
  <si>
    <t>REQ017</t>
  </si>
  <si>
    <t>Restaurar proforma</t>
  </si>
  <si>
    <t>Consultar producto</t>
  </si>
  <si>
    <t>Añadir producto</t>
  </si>
  <si>
    <t>Modificar producto</t>
  </si>
  <si>
    <t>Eliminar producto</t>
  </si>
  <si>
    <t>Gestionar ofertas</t>
  </si>
  <si>
    <t xml:space="preserve">Actualizar proforma </t>
  </si>
  <si>
    <t>Visualizar productos</t>
  </si>
  <si>
    <t>Consultar proforma</t>
  </si>
  <si>
    <t>Las proformas eliminadas no pueden recuperarse y se pierde información valiosa.</t>
  </si>
  <si>
    <t>Restaurar una proforma previamente eliminada dentro del periodo permitido.</t>
  </si>
  <si>
    <t>Recuperar la información y volver a usar o modificar proformas eliminadas.</t>
  </si>
  <si>
    <t>Acceder a “Bandeja de Eliminadas – Proformas”, seleccionar la proforma, confirmar restauración y actualizar estado a activo.</t>
  </si>
  <si>
    <t>La proforma vuelve a Consultar/Actualizar Proforma y muestra mensaje “Proforma restaurada correctamente”.</t>
  </si>
  <si>
    <t>Eliminación definitiva automática de proformas con antigüedad mayor a 1 año.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</si>
</sst>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b/>
      <sz val="11"/>
      <color theme="1"/>
      <name val="Arial"/>
      <scheme val="minor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9" fillId="3" borderId="5" xfId="0" applyFont="1" applyFill="1" applyBorder="1"/>
    <xf numFmtId="0" fontId="12" fillId="5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9" fillId="3" borderId="20" xfId="0" applyFont="1" applyFill="1" applyBorder="1"/>
    <xf numFmtId="0" fontId="9" fillId="3" borderId="21" xfId="0" applyFont="1" applyFill="1" applyBorder="1"/>
    <xf numFmtId="0" fontId="9" fillId="3" borderId="22" xfId="0" applyFont="1" applyFill="1" applyBorder="1"/>
    <xf numFmtId="0" fontId="9" fillId="3" borderId="7" xfId="0" applyFont="1" applyFill="1" applyBorder="1"/>
    <xf numFmtId="0" fontId="6" fillId="3" borderId="9" xfId="0" applyFont="1" applyFill="1" applyBorder="1" applyAlignment="1">
      <alignment horizontal="left" vertical="center" wrapText="1"/>
    </xf>
    <xf numFmtId="0" fontId="7" fillId="3" borderId="9" xfId="0" applyFont="1" applyFill="1" applyBorder="1"/>
    <xf numFmtId="0" fontId="9" fillId="3" borderId="9" xfId="0" applyFont="1" applyFill="1" applyBorder="1"/>
    <xf numFmtId="0" fontId="9" fillId="3" borderId="8" xfId="0" applyFont="1" applyFill="1" applyBorder="1"/>
    <xf numFmtId="0" fontId="9" fillId="3" borderId="11" xfId="0" applyFont="1" applyFill="1" applyBorder="1"/>
    <xf numFmtId="0" fontId="9" fillId="3" borderId="12" xfId="0" applyFont="1" applyFill="1" applyBorder="1"/>
    <xf numFmtId="0" fontId="1" fillId="0" borderId="5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14" fontId="0" fillId="0" borderId="4" xfId="0" applyNumberFormat="1" applyBorder="1" applyAlignment="1">
      <alignment vertical="top" wrapText="1"/>
    </xf>
    <xf numFmtId="0" fontId="0" fillId="8" borderId="4" xfId="0" applyFill="1" applyBorder="1" applyAlignment="1">
      <alignment vertical="top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13" xfId="0" applyBorder="1" applyAlignment="1">
      <alignment vertical="top" wrapText="1"/>
    </xf>
    <xf numFmtId="14" fontId="0" fillId="0" borderId="13" xfId="0" applyNumberFormat="1" applyBorder="1" applyAlignment="1">
      <alignment vertical="top" wrapText="1"/>
    </xf>
    <xf numFmtId="0" fontId="0" fillId="0" borderId="23" xfId="0" applyBorder="1" applyAlignment="1">
      <alignment vertical="top" wrapText="1"/>
    </xf>
    <xf numFmtId="14" fontId="0" fillId="0" borderId="23" xfId="0" applyNumberFormat="1" applyBorder="1" applyAlignment="1">
      <alignment vertical="top" wrapText="1"/>
    </xf>
    <xf numFmtId="0" fontId="0" fillId="8" borderId="13" xfId="0" applyFill="1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14" fontId="0" fillId="0" borderId="24" xfId="0" applyNumberFormat="1" applyBorder="1" applyAlignment="1">
      <alignment vertical="top" wrapText="1"/>
    </xf>
    <xf numFmtId="0" fontId="0" fillId="8" borderId="23" xfId="0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3" xfId="0" applyFont="1" applyBorder="1"/>
    <xf numFmtId="0" fontId="7" fillId="5" borderId="7" xfId="0" applyFont="1" applyFill="1" applyBorder="1" applyAlignment="1">
      <alignment horizontal="left" vertical="center"/>
    </xf>
    <xf numFmtId="0" fontId="3" fillId="0" borderId="9" xfId="0" applyFont="1" applyBorder="1"/>
    <xf numFmtId="0" fontId="3" fillId="0" borderId="8" xfId="0" applyFont="1" applyBorder="1"/>
    <xf numFmtId="0" fontId="3" fillId="0" borderId="11" xfId="0" applyFont="1" applyBorder="1"/>
    <xf numFmtId="0" fontId="0" fillId="0" borderId="0" xfId="0"/>
    <xf numFmtId="0" fontId="3" fillId="0" borderId="12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12" fillId="2" borderId="14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10" fillId="4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7" fillId="5" borderId="1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49" fontId="7" fillId="5" borderId="7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7" fillId="5" borderId="7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0" fillId="8" borderId="6" xfId="0" applyFill="1" applyBorder="1" applyAlignment="1">
      <alignment vertical="top" wrapText="1"/>
    </xf>
    <xf numFmtId="0" fontId="0" fillId="0" borderId="6" xfId="0" applyBorder="1" applyAlignment="1">
      <alignment vertical="top" wrapText="1"/>
    </xf>
    <xf numFmtId="14" fontId="0" fillId="0" borderId="6" xfId="0" applyNumberForma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8" borderId="7" xfId="0" applyFill="1" applyBorder="1" applyAlignment="1">
      <alignment vertical="top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999"/>
  <sheetViews>
    <sheetView showGridLines="0" tabSelected="1" zoomScale="66" zoomScaleNormal="66" workbookViewId="0">
      <selection activeCell="S19" sqref="S19:AF20"/>
    </sheetView>
  </sheetViews>
  <sheetFormatPr baseColWidth="10" defaultColWidth="12.69921875" defaultRowHeight="15" customHeight="1" x14ac:dyDescent="0.25"/>
  <cols>
    <col min="1" max="1" width="4.69921875" customWidth="1"/>
    <col min="2" max="2" width="9" customWidth="1"/>
    <col min="3" max="5" width="20.69921875" customWidth="1"/>
    <col min="6" max="6" width="13.19921875" customWidth="1"/>
    <col min="7" max="7" width="32.5" customWidth="1"/>
    <col min="8" max="12" width="10.69921875" customWidth="1"/>
    <col min="13" max="13" width="32.69921875" customWidth="1"/>
    <col min="14" max="15" width="20.69921875" customWidth="1"/>
    <col min="16" max="26" width="9.3984375" customWidth="1"/>
  </cols>
  <sheetData>
    <row r="1" spans="1:31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31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31" ht="45" customHeight="1" x14ac:dyDescent="0.25">
      <c r="A3" s="1"/>
      <c r="B3" s="45" t="s"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31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31" ht="60" customHeight="1" x14ac:dyDescent="0.25">
      <c r="A5" s="1"/>
      <c r="B5" s="29" t="s">
        <v>1</v>
      </c>
      <c r="C5" s="29" t="s">
        <v>2</v>
      </c>
      <c r="D5" s="29" t="s">
        <v>3</v>
      </c>
      <c r="E5" s="29" t="s">
        <v>4</v>
      </c>
      <c r="F5" s="29" t="s">
        <v>5</v>
      </c>
      <c r="G5" s="29" t="s">
        <v>6</v>
      </c>
      <c r="H5" s="29" t="s">
        <v>7</v>
      </c>
      <c r="I5" s="29" t="s">
        <v>8</v>
      </c>
      <c r="J5" s="29" t="s">
        <v>9</v>
      </c>
      <c r="K5" s="29" t="s">
        <v>10</v>
      </c>
      <c r="L5" s="29" t="s">
        <v>11</v>
      </c>
      <c r="M5" s="29" t="s">
        <v>12</v>
      </c>
      <c r="N5" s="29" t="s">
        <v>13</v>
      </c>
      <c r="O5" s="29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31" ht="75.75" customHeight="1" x14ac:dyDescent="0.25">
      <c r="A6" s="28"/>
      <c r="B6" s="44" t="s">
        <v>15</v>
      </c>
      <c r="C6" s="38" t="s">
        <v>147</v>
      </c>
      <c r="D6" s="38" t="s">
        <v>148</v>
      </c>
      <c r="E6" s="38" t="s">
        <v>149</v>
      </c>
      <c r="F6" s="38" t="s">
        <v>143</v>
      </c>
      <c r="G6" s="38" t="s">
        <v>150</v>
      </c>
      <c r="H6" s="38" t="s">
        <v>144</v>
      </c>
      <c r="I6" s="38">
        <v>10</v>
      </c>
      <c r="J6" s="39">
        <v>45996</v>
      </c>
      <c r="K6" s="38" t="s">
        <v>22</v>
      </c>
      <c r="L6" s="38" t="s">
        <v>23</v>
      </c>
      <c r="M6" s="38" t="s">
        <v>151</v>
      </c>
      <c r="N6" s="38" t="s">
        <v>152</v>
      </c>
      <c r="O6" s="38" t="s">
        <v>153</v>
      </c>
      <c r="P6" s="28"/>
      <c r="Q6" s="1"/>
      <c r="R6" s="1"/>
      <c r="S6" s="1"/>
      <c r="T6" s="1"/>
      <c r="U6" s="1"/>
      <c r="V6" s="1"/>
      <c r="W6" s="1"/>
      <c r="X6" s="1"/>
      <c r="Y6" s="1"/>
      <c r="Z6" s="1"/>
    </row>
    <row r="7" spans="1:31" ht="75.75" customHeight="1" x14ac:dyDescent="0.25">
      <c r="A7" s="28"/>
      <c r="B7" s="40" t="s">
        <v>26</v>
      </c>
      <c r="C7" s="36" t="s">
        <v>138</v>
      </c>
      <c r="D7" s="36" t="s">
        <v>139</v>
      </c>
      <c r="E7" s="36" t="s">
        <v>140</v>
      </c>
      <c r="F7" s="36" t="s">
        <v>141</v>
      </c>
      <c r="G7" s="41" t="s">
        <v>142</v>
      </c>
      <c r="H7" s="42" t="s">
        <v>76</v>
      </c>
      <c r="I7" s="42">
        <v>8</v>
      </c>
      <c r="J7" s="43">
        <v>45996</v>
      </c>
      <c r="K7" s="42" t="s">
        <v>22</v>
      </c>
      <c r="L7" s="42" t="s">
        <v>23</v>
      </c>
      <c r="M7" s="42" t="s">
        <v>145</v>
      </c>
      <c r="N7" s="42" t="s">
        <v>146</v>
      </c>
      <c r="O7" s="42" t="s">
        <v>154</v>
      </c>
      <c r="P7" s="28"/>
      <c r="Q7" s="1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</row>
    <row r="8" spans="1:31" ht="75.75" customHeight="1" x14ac:dyDescent="0.25">
      <c r="A8" s="28"/>
      <c r="B8" s="32" t="s">
        <v>33</v>
      </c>
      <c r="C8" s="30" t="s">
        <v>16</v>
      </c>
      <c r="D8" s="30" t="s">
        <v>17</v>
      </c>
      <c r="E8" s="30" t="s">
        <v>18</v>
      </c>
      <c r="F8" s="30" t="s">
        <v>19</v>
      </c>
      <c r="G8" s="30" t="s">
        <v>20</v>
      </c>
      <c r="H8" s="36" t="s">
        <v>21</v>
      </c>
      <c r="I8" s="36">
        <v>6</v>
      </c>
      <c r="J8" s="37">
        <v>45979</v>
      </c>
      <c r="K8" s="36" t="s">
        <v>22</v>
      </c>
      <c r="L8" s="36" t="s">
        <v>23</v>
      </c>
      <c r="M8" s="36" t="s">
        <v>24</v>
      </c>
      <c r="N8" s="36" t="s">
        <v>25</v>
      </c>
      <c r="O8" s="36" t="s">
        <v>166</v>
      </c>
      <c r="P8" s="28"/>
      <c r="Q8" s="1"/>
      <c r="R8" s="34"/>
      <c r="S8" s="34"/>
      <c r="T8" s="34"/>
      <c r="U8" s="34"/>
      <c r="V8" s="34"/>
      <c r="W8" s="34"/>
      <c r="X8" s="34"/>
      <c r="Y8" s="34"/>
      <c r="Z8" s="35"/>
      <c r="AA8" s="34"/>
      <c r="AB8" s="34"/>
      <c r="AC8" s="34"/>
      <c r="AD8" s="34"/>
      <c r="AE8" s="34"/>
    </row>
    <row r="9" spans="1:31" ht="75.75" customHeight="1" x14ac:dyDescent="0.25">
      <c r="A9" s="28"/>
      <c r="B9" s="32" t="s">
        <v>40</v>
      </c>
      <c r="C9" s="30" t="s">
        <v>27</v>
      </c>
      <c r="D9" s="30" t="s">
        <v>28</v>
      </c>
      <c r="E9" s="30" t="s">
        <v>29</v>
      </c>
      <c r="F9" s="30" t="s">
        <v>19</v>
      </c>
      <c r="G9" s="30" t="s">
        <v>30</v>
      </c>
      <c r="H9" s="30" t="s">
        <v>21</v>
      </c>
      <c r="I9" s="30">
        <v>5</v>
      </c>
      <c r="J9" s="31">
        <v>45979</v>
      </c>
      <c r="K9" s="30" t="s">
        <v>22</v>
      </c>
      <c r="L9" s="30" t="s">
        <v>23</v>
      </c>
      <c r="M9" s="30" t="s">
        <v>31</v>
      </c>
      <c r="N9" s="30" t="s">
        <v>32</v>
      </c>
      <c r="O9" s="30" t="s">
        <v>165</v>
      </c>
      <c r="P9" s="28"/>
      <c r="Q9" s="1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 spans="1:31" ht="75.75" customHeight="1" x14ac:dyDescent="0.25">
      <c r="A10" s="28" t="s">
        <v>135</v>
      </c>
      <c r="B10" s="32" t="s">
        <v>48</v>
      </c>
      <c r="C10" s="30" t="s">
        <v>34</v>
      </c>
      <c r="D10" s="30" t="s">
        <v>35</v>
      </c>
      <c r="E10" s="30" t="s">
        <v>36</v>
      </c>
      <c r="F10" s="30" t="s">
        <v>19</v>
      </c>
      <c r="G10" s="30" t="s">
        <v>37</v>
      </c>
      <c r="H10" s="30" t="s">
        <v>21</v>
      </c>
      <c r="I10" s="30">
        <v>5</v>
      </c>
      <c r="J10" s="31">
        <v>45979</v>
      </c>
      <c r="K10" s="30" t="s">
        <v>22</v>
      </c>
      <c r="L10" s="30" t="s">
        <v>23</v>
      </c>
      <c r="M10" s="30" t="s">
        <v>38</v>
      </c>
      <c r="N10" s="30" t="s">
        <v>39</v>
      </c>
      <c r="O10" s="30" t="s">
        <v>167</v>
      </c>
      <c r="P10" s="28"/>
      <c r="Q10" s="1"/>
      <c r="R10" s="34"/>
      <c r="S10" s="34"/>
      <c r="T10" s="34"/>
      <c r="U10" s="34"/>
      <c r="V10" s="34"/>
      <c r="W10" s="34"/>
      <c r="X10" s="34"/>
      <c r="Y10" s="34"/>
      <c r="Z10" s="35"/>
      <c r="AA10" s="34"/>
      <c r="AB10" s="34"/>
      <c r="AC10" s="34"/>
      <c r="AD10" s="34"/>
      <c r="AE10" s="34"/>
    </row>
    <row r="11" spans="1:31" ht="64.5" customHeight="1" x14ac:dyDescent="0.25">
      <c r="A11" s="28"/>
      <c r="B11" s="74" t="s">
        <v>56</v>
      </c>
      <c r="C11" s="75" t="s">
        <v>41</v>
      </c>
      <c r="D11" s="75" t="s">
        <v>42</v>
      </c>
      <c r="E11" s="75" t="s">
        <v>43</v>
      </c>
      <c r="F11" s="75" t="s">
        <v>19</v>
      </c>
      <c r="G11" s="75" t="s">
        <v>44</v>
      </c>
      <c r="H11" s="75" t="s">
        <v>21</v>
      </c>
      <c r="I11" s="75">
        <v>3</v>
      </c>
      <c r="J11" s="76">
        <v>45979</v>
      </c>
      <c r="K11" s="75" t="s">
        <v>45</v>
      </c>
      <c r="L11" s="75" t="s">
        <v>23</v>
      </c>
      <c r="M11" s="75" t="s">
        <v>46</v>
      </c>
      <c r="N11" s="75" t="s">
        <v>47</v>
      </c>
      <c r="O11" s="75" t="s">
        <v>168</v>
      </c>
      <c r="P11" s="2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31" ht="64.5" customHeight="1" x14ac:dyDescent="0.25">
      <c r="A12" s="28"/>
      <c r="B12" s="74" t="s">
        <v>64</v>
      </c>
      <c r="C12" s="38" t="s">
        <v>157</v>
      </c>
      <c r="D12" s="38" t="s">
        <v>158</v>
      </c>
      <c r="E12" s="38" t="s">
        <v>159</v>
      </c>
      <c r="F12" s="38" t="s">
        <v>19</v>
      </c>
      <c r="G12" s="38" t="s">
        <v>160</v>
      </c>
      <c r="H12" s="38" t="s">
        <v>53</v>
      </c>
      <c r="I12" s="38">
        <v>5</v>
      </c>
      <c r="J12" s="39">
        <v>46001</v>
      </c>
      <c r="K12" s="38" t="s">
        <v>45</v>
      </c>
      <c r="L12" s="38" t="s">
        <v>23</v>
      </c>
      <c r="M12" s="38" t="s">
        <v>161</v>
      </c>
      <c r="N12" s="38" t="s">
        <v>162</v>
      </c>
      <c r="O12" s="38" t="s">
        <v>156</v>
      </c>
      <c r="P12" s="2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31" ht="61.5" customHeight="1" x14ac:dyDescent="0.25">
      <c r="A13" s="28"/>
      <c r="B13" s="74" t="s">
        <v>71</v>
      </c>
      <c r="C13" s="36" t="s">
        <v>49</v>
      </c>
      <c r="D13" s="36" t="s">
        <v>50</v>
      </c>
      <c r="E13" s="36" t="s">
        <v>51</v>
      </c>
      <c r="F13" s="36" t="s">
        <v>19</v>
      </c>
      <c r="G13" s="36" t="s">
        <v>52</v>
      </c>
      <c r="H13" s="36" t="s">
        <v>53</v>
      </c>
      <c r="I13" s="36">
        <v>6</v>
      </c>
      <c r="J13" s="37">
        <v>45979</v>
      </c>
      <c r="K13" s="36" t="s">
        <v>22</v>
      </c>
      <c r="L13" s="36" t="s">
        <v>23</v>
      </c>
      <c r="M13" s="36" t="s">
        <v>54</v>
      </c>
      <c r="N13" s="36" t="s">
        <v>55</v>
      </c>
      <c r="O13" s="36" t="s">
        <v>169</v>
      </c>
      <c r="P13" s="2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31" ht="39.75" customHeight="1" x14ac:dyDescent="0.25">
      <c r="A14" s="28"/>
      <c r="B14" s="74" t="s">
        <v>79</v>
      </c>
      <c r="C14" s="30" t="s">
        <v>105</v>
      </c>
      <c r="D14" s="30" t="s">
        <v>106</v>
      </c>
      <c r="E14" s="30" t="s">
        <v>107</v>
      </c>
      <c r="F14" s="30" t="s">
        <v>108</v>
      </c>
      <c r="G14" s="30" t="s">
        <v>109</v>
      </c>
      <c r="H14" s="30" t="s">
        <v>100</v>
      </c>
      <c r="I14" s="30">
        <v>5</v>
      </c>
      <c r="J14" s="31">
        <v>45979</v>
      </c>
      <c r="K14" s="30" t="s">
        <v>22</v>
      </c>
      <c r="L14" s="30" t="s">
        <v>23</v>
      </c>
      <c r="M14" s="30" t="s">
        <v>110</v>
      </c>
      <c r="N14" s="30" t="s">
        <v>111</v>
      </c>
      <c r="O14" s="30" t="s">
        <v>171</v>
      </c>
      <c r="P14" s="2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31" ht="70.5" customHeight="1" x14ac:dyDescent="0.25">
      <c r="A15" s="28"/>
      <c r="B15" s="74" t="s">
        <v>87</v>
      </c>
      <c r="C15" s="30" t="s">
        <v>57</v>
      </c>
      <c r="D15" s="30" t="s">
        <v>58</v>
      </c>
      <c r="E15" s="30" t="s">
        <v>59</v>
      </c>
      <c r="F15" s="30" t="s">
        <v>19</v>
      </c>
      <c r="G15" s="30" t="s">
        <v>60</v>
      </c>
      <c r="H15" s="30" t="s">
        <v>53</v>
      </c>
      <c r="I15" s="30">
        <v>8</v>
      </c>
      <c r="J15" s="31">
        <v>45979</v>
      </c>
      <c r="K15" s="30" t="s">
        <v>22</v>
      </c>
      <c r="L15" s="30" t="s">
        <v>23</v>
      </c>
      <c r="M15" s="30" t="s">
        <v>61</v>
      </c>
      <c r="N15" s="30" t="s">
        <v>62</v>
      </c>
      <c r="O15" s="30" t="s">
        <v>63</v>
      </c>
      <c r="P15" s="28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31" ht="61.5" customHeight="1" x14ac:dyDescent="0.25">
      <c r="A16" s="28"/>
      <c r="B16" s="74" t="s">
        <v>95</v>
      </c>
      <c r="C16" s="30" t="s">
        <v>65</v>
      </c>
      <c r="D16" s="30" t="s">
        <v>66</v>
      </c>
      <c r="E16" s="30" t="s">
        <v>67</v>
      </c>
      <c r="F16" s="30" t="s">
        <v>19</v>
      </c>
      <c r="G16" s="30" t="s">
        <v>68</v>
      </c>
      <c r="H16" s="30" t="s">
        <v>53</v>
      </c>
      <c r="I16" s="30">
        <v>5</v>
      </c>
      <c r="J16" s="31">
        <v>45979</v>
      </c>
      <c r="K16" s="30" t="s">
        <v>45</v>
      </c>
      <c r="L16" s="30" t="s">
        <v>23</v>
      </c>
      <c r="M16" s="30" t="s">
        <v>69</v>
      </c>
      <c r="N16" s="30" t="s">
        <v>70</v>
      </c>
      <c r="O16" s="30" t="s">
        <v>170</v>
      </c>
      <c r="P16" s="2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32" ht="58.5" customHeight="1" x14ac:dyDescent="0.25">
      <c r="A17" s="28"/>
      <c r="B17" s="74" t="s">
        <v>104</v>
      </c>
      <c r="C17" s="30" t="s">
        <v>72</v>
      </c>
      <c r="D17" s="30" t="s">
        <v>73</v>
      </c>
      <c r="E17" s="30" t="s">
        <v>74</v>
      </c>
      <c r="F17" s="30" t="s">
        <v>19</v>
      </c>
      <c r="G17" s="30" t="s">
        <v>75</v>
      </c>
      <c r="H17" s="30" t="s">
        <v>76</v>
      </c>
      <c r="I17" s="30">
        <v>4</v>
      </c>
      <c r="J17" s="31">
        <v>45979</v>
      </c>
      <c r="K17" s="30" t="s">
        <v>22</v>
      </c>
      <c r="L17" s="30" t="s">
        <v>23</v>
      </c>
      <c r="M17" s="30" t="s">
        <v>77</v>
      </c>
      <c r="N17" s="30" t="s">
        <v>78</v>
      </c>
      <c r="O17" s="30" t="s">
        <v>172</v>
      </c>
      <c r="P17" s="2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32" ht="39.75" customHeight="1" x14ac:dyDescent="0.25">
      <c r="A18" s="28"/>
      <c r="B18" s="74" t="s">
        <v>112</v>
      </c>
      <c r="C18" s="30" t="s">
        <v>80</v>
      </c>
      <c r="D18" s="30" t="s">
        <v>81</v>
      </c>
      <c r="E18" s="30" t="s">
        <v>82</v>
      </c>
      <c r="F18" s="30" t="s">
        <v>19</v>
      </c>
      <c r="G18" s="30" t="s">
        <v>83</v>
      </c>
      <c r="H18" s="30" t="s">
        <v>76</v>
      </c>
      <c r="I18" s="30">
        <v>3</v>
      </c>
      <c r="J18" s="31">
        <v>45979</v>
      </c>
      <c r="K18" s="30" t="s">
        <v>45</v>
      </c>
      <c r="L18" s="30" t="s">
        <v>23</v>
      </c>
      <c r="M18" s="30" t="s">
        <v>84</v>
      </c>
      <c r="N18" s="30" t="s">
        <v>85</v>
      </c>
      <c r="O18" s="30" t="s">
        <v>86</v>
      </c>
      <c r="P18" s="2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32" ht="72" customHeight="1" x14ac:dyDescent="0.25">
      <c r="A19" s="28"/>
      <c r="B19" s="74" t="s">
        <v>136</v>
      </c>
      <c r="C19" s="75" t="s">
        <v>88</v>
      </c>
      <c r="D19" s="75" t="s">
        <v>89</v>
      </c>
      <c r="E19" s="75" t="s">
        <v>90</v>
      </c>
      <c r="F19" s="75" t="s">
        <v>19</v>
      </c>
      <c r="G19" s="75" t="s">
        <v>91</v>
      </c>
      <c r="H19" s="75" t="s">
        <v>76</v>
      </c>
      <c r="I19" s="75">
        <v>6</v>
      </c>
      <c r="J19" s="76">
        <v>45979</v>
      </c>
      <c r="K19" s="75" t="s">
        <v>22</v>
      </c>
      <c r="L19" s="75" t="s">
        <v>23</v>
      </c>
      <c r="M19" s="75" t="s">
        <v>92</v>
      </c>
      <c r="N19" s="75" t="s">
        <v>93</v>
      </c>
      <c r="O19" s="75" t="s">
        <v>94</v>
      </c>
      <c r="P19" s="28"/>
      <c r="Q19" s="1"/>
      <c r="R19" s="1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</row>
    <row r="20" spans="1:32" ht="39.75" customHeight="1" x14ac:dyDescent="0.25">
      <c r="A20" s="28"/>
      <c r="B20" s="78" t="s">
        <v>137</v>
      </c>
      <c r="C20" s="38" t="s">
        <v>173</v>
      </c>
      <c r="D20" s="38" t="s">
        <v>174</v>
      </c>
      <c r="E20" s="38" t="s">
        <v>175</v>
      </c>
      <c r="F20" s="38" t="s">
        <v>19</v>
      </c>
      <c r="G20" s="38" t="s">
        <v>176</v>
      </c>
      <c r="H20" s="38" t="s">
        <v>144</v>
      </c>
      <c r="I20" s="38">
        <v>5</v>
      </c>
      <c r="J20" s="39">
        <v>46001</v>
      </c>
      <c r="K20" s="38" t="s">
        <v>45</v>
      </c>
      <c r="L20" s="38" t="s">
        <v>23</v>
      </c>
      <c r="M20" s="38" t="s">
        <v>177</v>
      </c>
      <c r="N20" s="38" t="s">
        <v>178</v>
      </c>
      <c r="O20" s="38" t="s">
        <v>164</v>
      </c>
      <c r="P20" s="28"/>
      <c r="Q20" s="1"/>
      <c r="R20" s="1"/>
      <c r="S20" s="34"/>
      <c r="T20" s="34"/>
      <c r="U20" s="34"/>
      <c r="V20" s="34"/>
      <c r="W20" s="34"/>
      <c r="X20" s="34"/>
      <c r="Y20" s="34"/>
      <c r="Z20" s="34"/>
      <c r="AA20" s="35"/>
      <c r="AB20" s="34"/>
      <c r="AC20" s="34"/>
      <c r="AD20" s="34"/>
      <c r="AE20" s="34"/>
      <c r="AF20" s="34"/>
    </row>
    <row r="21" spans="1:32" ht="39.75" customHeight="1" x14ac:dyDescent="0.25">
      <c r="A21" s="28"/>
      <c r="B21" s="74" t="s">
        <v>155</v>
      </c>
      <c r="C21" s="36" t="s">
        <v>113</v>
      </c>
      <c r="D21" s="36" t="s">
        <v>114</v>
      </c>
      <c r="E21" s="36" t="s">
        <v>115</v>
      </c>
      <c r="F21" s="36" t="s">
        <v>116</v>
      </c>
      <c r="G21" s="36" t="s">
        <v>117</v>
      </c>
      <c r="H21" s="36" t="s">
        <v>100</v>
      </c>
      <c r="I21" s="36">
        <v>4</v>
      </c>
      <c r="J21" s="37">
        <v>45979</v>
      </c>
      <c r="K21" s="36" t="s">
        <v>45</v>
      </c>
      <c r="L21" s="36" t="s">
        <v>23</v>
      </c>
      <c r="M21" s="36" t="s">
        <v>118</v>
      </c>
      <c r="N21" s="36" t="s">
        <v>119</v>
      </c>
      <c r="O21" s="36" t="s">
        <v>120</v>
      </c>
      <c r="P21" s="28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2" ht="39.75" customHeight="1" x14ac:dyDescent="0.25">
      <c r="A22" s="28"/>
      <c r="B22" s="44" t="s">
        <v>163</v>
      </c>
      <c r="C22" s="77" t="s">
        <v>96</v>
      </c>
      <c r="D22" s="30" t="s">
        <v>97</v>
      </c>
      <c r="E22" s="30" t="s">
        <v>98</v>
      </c>
      <c r="F22" s="30" t="s">
        <v>19</v>
      </c>
      <c r="G22" s="30" t="s">
        <v>99</v>
      </c>
      <c r="H22" s="30" t="s">
        <v>100</v>
      </c>
      <c r="I22" s="30">
        <v>8</v>
      </c>
      <c r="J22" s="31">
        <v>45979</v>
      </c>
      <c r="K22" s="30" t="s">
        <v>45</v>
      </c>
      <c r="L22" s="30" t="s">
        <v>23</v>
      </c>
      <c r="M22" s="30" t="s">
        <v>101</v>
      </c>
      <c r="N22" s="30" t="s">
        <v>102</v>
      </c>
      <c r="O22" s="30" t="s">
        <v>103</v>
      </c>
      <c r="P22" s="28"/>
      <c r="Q22" s="1"/>
      <c r="R22" s="1"/>
      <c r="S22" s="1"/>
      <c r="T22" s="1"/>
      <c r="U22" s="1"/>
      <c r="V22" s="1"/>
      <c r="W22" s="1"/>
      <c r="X22" s="1"/>
      <c r="Y22" s="1"/>
      <c r="Z22" s="1"/>
    </row>
    <row r="25" spans="1:32" ht="19.5" customHeight="1" x14ac:dyDescent="0.25">
      <c r="A25" s="1"/>
      <c r="B25" s="1"/>
      <c r="C25" s="1"/>
      <c r="D25" s="1"/>
      <c r="E25" s="1"/>
      <c r="F25" s="1"/>
      <c r="G25" s="1"/>
      <c r="H25" s="1"/>
      <c r="I25" s="2"/>
      <c r="J25" s="2"/>
      <c r="K25" s="4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32" ht="19.5" customHeight="1" x14ac:dyDescent="0.25">
      <c r="A26" s="1"/>
      <c r="B26" s="1"/>
      <c r="C26" s="1"/>
      <c r="D26" s="1"/>
      <c r="E26" s="1"/>
      <c r="F26" s="1"/>
      <c r="G26" s="1"/>
      <c r="H26" s="1"/>
      <c r="I26" s="2"/>
      <c r="J26" s="2"/>
      <c r="K26" s="4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32" ht="19.5" customHeight="1" x14ac:dyDescent="0.25">
      <c r="A27" s="1"/>
      <c r="B27" s="1"/>
      <c r="C27" s="1"/>
      <c r="D27" s="1"/>
      <c r="E27" s="1"/>
      <c r="F27" s="1"/>
      <c r="G27" s="1"/>
      <c r="H27" s="1"/>
      <c r="I27" s="2"/>
      <c r="J27" s="2"/>
      <c r="K27" s="3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32" ht="19.5" customHeight="1" x14ac:dyDescent="0.25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32" ht="19.5" customHeight="1" x14ac:dyDescent="0.25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32" ht="19.5" customHeight="1" x14ac:dyDescent="0.25">
      <c r="A30" s="1"/>
      <c r="B30" s="1"/>
      <c r="C30" s="1"/>
      <c r="D30" s="1"/>
      <c r="E30" s="1"/>
      <c r="F30" s="1"/>
      <c r="G30" s="1"/>
      <c r="H30" s="1"/>
      <c r="I30" s="2"/>
      <c r="J30" s="1"/>
      <c r="K30" s="3" t="s">
        <v>22</v>
      </c>
      <c r="L30" s="3" t="s">
        <v>23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32" ht="19.5" customHeight="1" x14ac:dyDescent="0.25">
      <c r="A31" s="1"/>
      <c r="B31" s="1"/>
      <c r="C31" s="1"/>
      <c r="D31" s="1"/>
      <c r="E31" s="1"/>
      <c r="F31" s="1"/>
      <c r="G31" s="1"/>
      <c r="H31" s="1"/>
      <c r="I31" s="2"/>
      <c r="J31" s="1"/>
      <c r="K31" s="3" t="s">
        <v>121</v>
      </c>
      <c r="L31" s="3" t="s">
        <v>122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32" ht="19.5" customHeight="1" x14ac:dyDescent="0.25">
      <c r="A32" s="1"/>
      <c r="B32" s="1"/>
      <c r="C32" s="1"/>
      <c r="D32" s="1"/>
      <c r="E32" s="1"/>
      <c r="F32" s="1"/>
      <c r="G32" s="1"/>
      <c r="H32" s="1"/>
      <c r="I32" s="2"/>
      <c r="J32" s="1"/>
      <c r="K32" s="3" t="s">
        <v>123</v>
      </c>
      <c r="L32" s="3" t="s">
        <v>124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5">
      <c r="A33" s="1"/>
      <c r="B33" s="1"/>
      <c r="C33" s="1"/>
      <c r="D33" s="1"/>
      <c r="E33" s="1"/>
      <c r="F33" s="1"/>
      <c r="G33" s="1"/>
      <c r="H33" s="1"/>
      <c r="I33" s="2"/>
      <c r="J33" s="1"/>
      <c r="K33" s="3"/>
      <c r="L33" s="3" t="s">
        <v>125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5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2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2"/>
      <c r="J38" s="2"/>
      <c r="K38" s="3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3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3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3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3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3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3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">
    <mergeCell ref="B3:O3"/>
  </mergeCells>
  <phoneticPr fontId="15" type="noConversion"/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zoomScale="66" zoomScaleNormal="66" workbookViewId="0">
      <selection activeCell="E19" sqref="E19:O20"/>
    </sheetView>
  </sheetViews>
  <sheetFormatPr baseColWidth="10" defaultColWidth="12.69921875" defaultRowHeight="15" customHeight="1" x14ac:dyDescent="0.25"/>
  <cols>
    <col min="1" max="1" width="9.3984375" customWidth="1"/>
    <col min="2" max="2" width="2.69921875" customWidth="1"/>
    <col min="3" max="15" width="10.69921875" customWidth="1"/>
    <col min="16" max="16" width="2.6992187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5"/>
      <c r="D4" s="5"/>
      <c r="E4" s="5"/>
      <c r="F4" s="6"/>
    </row>
    <row r="5" spans="1:26" ht="14.4" hidden="1" x14ac:dyDescent="0.3">
      <c r="C5" s="5"/>
      <c r="D5" s="5"/>
      <c r="E5" s="5"/>
      <c r="F5" s="6"/>
    </row>
    <row r="6" spans="1:26" ht="39.75" customHeight="1" x14ac:dyDescent="0.25">
      <c r="B6" s="70" t="s">
        <v>126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65"/>
    </row>
    <row r="7" spans="1:26" ht="9.75" customHeight="1" x14ac:dyDescent="0.2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  <c r="Q8" s="7"/>
    </row>
    <row r="9" spans="1:26" ht="30" customHeight="1" x14ac:dyDescent="0.25">
      <c r="B9" s="26"/>
      <c r="C9" s="9" t="s">
        <v>1</v>
      </c>
      <c r="D9" s="10"/>
      <c r="E9" s="64" t="s">
        <v>127</v>
      </c>
      <c r="F9" s="65"/>
      <c r="G9" s="10"/>
      <c r="H9" s="64" t="s">
        <v>11</v>
      </c>
      <c r="I9" s="65"/>
      <c r="J9" s="11"/>
      <c r="K9" s="11"/>
      <c r="L9" s="11"/>
      <c r="M9" s="11"/>
      <c r="N9" s="11"/>
      <c r="O9" s="11"/>
      <c r="P9" s="27"/>
      <c r="Q9" s="7"/>
    </row>
    <row r="10" spans="1:26" ht="30" customHeight="1" x14ac:dyDescent="0.25">
      <c r="B10" s="26"/>
      <c r="C10" s="12" t="s">
        <v>15</v>
      </c>
      <c r="D10" s="13"/>
      <c r="E10" s="66" t="str">
        <f>VLOOKUP(C10,'Formato descripción HU'!B6:O23,5,0)</f>
        <v>Administrador o Empleado</v>
      </c>
      <c r="F10" s="65"/>
      <c r="G10" s="14"/>
      <c r="H10" s="66" t="str">
        <f>VLOOKUP(C10,'Formato descripción HU'!B6:O23,11,0)</f>
        <v>No iniciado</v>
      </c>
      <c r="I10" s="65"/>
      <c r="J10" s="14"/>
      <c r="K10" s="11"/>
      <c r="L10" s="11"/>
      <c r="M10" s="11"/>
      <c r="N10" s="11"/>
      <c r="O10" s="11"/>
      <c r="P10" s="27"/>
      <c r="Q10" s="7"/>
    </row>
    <row r="11" spans="1:26" ht="9.75" customHeight="1" x14ac:dyDescent="0.25">
      <c r="A11" s="7"/>
      <c r="B11" s="26"/>
      <c r="C11" s="15"/>
      <c r="D11" s="13"/>
      <c r="E11" s="16"/>
      <c r="F11" s="16"/>
      <c r="G11" s="14"/>
      <c r="H11" s="16"/>
      <c r="I11" s="16"/>
      <c r="J11" s="14"/>
      <c r="K11" s="16"/>
      <c r="L11" s="16"/>
      <c r="M11" s="11"/>
      <c r="N11" s="16"/>
      <c r="O11" s="16"/>
      <c r="P11" s="2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0" customHeight="1" x14ac:dyDescent="0.25">
      <c r="A12" s="7"/>
      <c r="B12" s="26"/>
      <c r="C12" s="9" t="s">
        <v>128</v>
      </c>
      <c r="D12" s="13"/>
      <c r="E12" s="64" t="s">
        <v>10</v>
      </c>
      <c r="F12" s="65"/>
      <c r="G12" s="14"/>
      <c r="H12" s="64" t="s">
        <v>129</v>
      </c>
      <c r="I12" s="65"/>
      <c r="J12" s="14"/>
      <c r="K12" s="16"/>
      <c r="L12" s="16"/>
      <c r="M12" s="11"/>
      <c r="N12" s="16"/>
      <c r="O12" s="16"/>
      <c r="P12" s="2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0" customHeight="1" x14ac:dyDescent="0.25">
      <c r="A13" s="7"/>
      <c r="B13" s="26"/>
      <c r="C13" s="12">
        <f>VLOOKUP('Historia de Usuario'!C10,'Formato descripción HU'!B6:O23,8,0)</f>
        <v>10</v>
      </c>
      <c r="D13" s="13"/>
      <c r="E13" s="66" t="str">
        <f>VLOOKUP(C10,'Formato descripción HU'!B6:O23,10,0)</f>
        <v>Alta</v>
      </c>
      <c r="F13" s="65"/>
      <c r="G13" s="14"/>
      <c r="H13" s="66" t="str">
        <f>VLOOKUP(C10,'Formato descripción HU'!B6:O23,7,0)</f>
        <v>(Asignar)</v>
      </c>
      <c r="I13" s="65"/>
      <c r="J13" s="14"/>
      <c r="K13" s="16"/>
      <c r="L13" s="16"/>
      <c r="M13" s="11"/>
      <c r="N13" s="16"/>
      <c r="O13" s="16"/>
      <c r="P13" s="2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9.75" customHeight="1" x14ac:dyDescent="0.25">
      <c r="A14" s="7"/>
      <c r="B14" s="26"/>
      <c r="C14" s="11"/>
      <c r="D14" s="13"/>
      <c r="E14" s="11"/>
      <c r="F14" s="11"/>
      <c r="G14" s="14"/>
      <c r="H14" s="14"/>
      <c r="I14" s="11"/>
      <c r="J14" s="11"/>
      <c r="K14" s="11"/>
      <c r="L14" s="11"/>
      <c r="M14" s="11"/>
      <c r="N14" s="11"/>
      <c r="O14" s="11"/>
      <c r="P14" s="2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9.5" customHeight="1" x14ac:dyDescent="0.25">
      <c r="A15" s="7"/>
      <c r="B15" s="26"/>
      <c r="C15" s="46" t="s">
        <v>130</v>
      </c>
      <c r="D15" s="73" t="str">
        <f>VLOOKUP(C10,'Formato descripción HU'!B6:O23,3,0)</f>
        <v>Solicitar usuario y contraseña para validar acceso.</v>
      </c>
      <c r="E15" s="51"/>
      <c r="F15" s="17"/>
      <c r="G15" s="46" t="s">
        <v>131</v>
      </c>
      <c r="H15" s="73" t="str">
        <f>VLOOKUP(C10,'Formato descripción HU'!B6:O23,4,0)</f>
        <v>Controlar el ingreso seguro al sistema según rol.</v>
      </c>
      <c r="I15" s="50"/>
      <c r="J15" s="51"/>
      <c r="K15" s="17"/>
      <c r="L15" s="46" t="s">
        <v>132</v>
      </c>
      <c r="M15" s="49" t="str">
        <f>VLOOKUP(C10,'Formato descripción HU'!B6:O23,6,0)</f>
        <v>Ingresar usuario y contraseña en la pantalla de inicio, presionar “Iniciar sesión” y ser redirigido al menú principal.</v>
      </c>
      <c r="N15" s="50"/>
      <c r="O15" s="51"/>
      <c r="P15" s="2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5" customHeight="1" x14ac:dyDescent="0.25">
      <c r="A16" s="7"/>
      <c r="B16" s="26"/>
      <c r="C16" s="47"/>
      <c r="D16" s="52"/>
      <c r="E16" s="54"/>
      <c r="F16" s="17"/>
      <c r="G16" s="47"/>
      <c r="H16" s="52"/>
      <c r="I16" s="53"/>
      <c r="J16" s="54"/>
      <c r="K16" s="17"/>
      <c r="L16" s="47"/>
      <c r="M16" s="52"/>
      <c r="N16" s="53"/>
      <c r="O16" s="54"/>
      <c r="P16" s="2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9.5" customHeight="1" x14ac:dyDescent="0.25">
      <c r="A17" s="7"/>
      <c r="B17" s="26"/>
      <c r="C17" s="48"/>
      <c r="D17" s="55"/>
      <c r="E17" s="57"/>
      <c r="F17" s="17"/>
      <c r="G17" s="48"/>
      <c r="H17" s="55"/>
      <c r="I17" s="56"/>
      <c r="J17" s="57"/>
      <c r="K17" s="17"/>
      <c r="L17" s="48"/>
      <c r="M17" s="55"/>
      <c r="N17" s="56"/>
      <c r="O17" s="57"/>
      <c r="P17" s="2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9.75" customHeight="1" x14ac:dyDescent="0.25">
      <c r="A18" s="7"/>
      <c r="B18" s="26"/>
      <c r="C18" s="11"/>
      <c r="D18" s="11"/>
      <c r="E18" s="11"/>
      <c r="F18" s="11"/>
      <c r="G18" s="14"/>
      <c r="H18" s="14"/>
      <c r="I18" s="14"/>
      <c r="J18" s="11"/>
      <c r="K18" s="11"/>
      <c r="L18" s="11"/>
      <c r="M18" s="11"/>
      <c r="N18" s="11"/>
      <c r="O18" s="11"/>
      <c r="P18" s="2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9.5" customHeight="1" x14ac:dyDescent="0.25">
      <c r="B19" s="26"/>
      <c r="C19" s="67" t="s">
        <v>133</v>
      </c>
      <c r="D19" s="51"/>
      <c r="E19" s="58" t="str">
        <f>VLOOKUP(C10,'Formato descripción HU'!B6:O23,14,0)</f>
        <v xml:space="preserve">Iniciar sesión </v>
      </c>
      <c r="F19" s="59"/>
      <c r="G19" s="59"/>
      <c r="H19" s="59"/>
      <c r="I19" s="59"/>
      <c r="J19" s="59"/>
      <c r="K19" s="59"/>
      <c r="L19" s="59"/>
      <c r="M19" s="59"/>
      <c r="N19" s="59"/>
      <c r="O19" s="60"/>
      <c r="P19" s="27"/>
      <c r="Q19" s="7"/>
    </row>
    <row r="20" spans="1:26" ht="19.5" customHeight="1" x14ac:dyDescent="0.25">
      <c r="B20" s="26"/>
      <c r="C20" s="55"/>
      <c r="D20" s="57"/>
      <c r="E20" s="61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27"/>
      <c r="Q20" s="7"/>
    </row>
    <row r="21" spans="1:26" ht="9.75" customHeight="1" x14ac:dyDescent="0.25">
      <c r="B21" s="2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27"/>
      <c r="Q21" s="7"/>
    </row>
    <row r="22" spans="1:26" ht="19.5" customHeight="1" x14ac:dyDescent="0.25">
      <c r="A22" s="7"/>
      <c r="B22" s="26"/>
      <c r="C22" s="68" t="s">
        <v>134</v>
      </c>
      <c r="D22" s="51"/>
      <c r="E22" s="69" t="str">
        <f>VLOOKUP(C10,'Formato descripción HU'!B6:O23,12,0)</f>
        <v>Si las credenciales son válidas, el sistema redirige al tablero según rol; si no, muestra “Usuario o contraseña incorrectos”.</v>
      </c>
      <c r="F22" s="50"/>
      <c r="G22" s="50"/>
      <c r="H22" s="51"/>
      <c r="I22" s="11"/>
      <c r="J22" s="68" t="s">
        <v>13</v>
      </c>
      <c r="K22" s="51"/>
      <c r="L22" s="72" t="str">
        <f>VLOOKUP(C10,'Formato descripción HU'!B6:O23,13,0)</f>
        <v>Tras 3 intentos fallidos bloquear acceso temporal.</v>
      </c>
      <c r="M22" s="50"/>
      <c r="N22" s="50"/>
      <c r="O22" s="51"/>
      <c r="P22" s="2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9.5" customHeight="1" x14ac:dyDescent="0.25">
      <c r="A23" s="7"/>
      <c r="B23" s="26"/>
      <c r="C23" s="52"/>
      <c r="D23" s="54"/>
      <c r="E23" s="52"/>
      <c r="F23" s="53"/>
      <c r="G23" s="53"/>
      <c r="H23" s="54"/>
      <c r="I23" s="11"/>
      <c r="J23" s="52"/>
      <c r="K23" s="54"/>
      <c r="L23" s="52"/>
      <c r="M23" s="53"/>
      <c r="N23" s="53"/>
      <c r="O23" s="54"/>
      <c r="P23" s="2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9.5" customHeight="1" x14ac:dyDescent="0.25">
      <c r="A24" s="7"/>
      <c r="B24" s="26"/>
      <c r="C24" s="55"/>
      <c r="D24" s="57"/>
      <c r="E24" s="55"/>
      <c r="F24" s="56"/>
      <c r="G24" s="56"/>
      <c r="H24" s="57"/>
      <c r="I24" s="11"/>
      <c r="J24" s="55"/>
      <c r="K24" s="57"/>
      <c r="L24" s="55"/>
      <c r="M24" s="56"/>
      <c r="N24" s="56"/>
      <c r="O24" s="57"/>
      <c r="P24" s="2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9.75" customHeight="1" x14ac:dyDescent="0.25">
      <c r="A25" s="7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9.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9.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9.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9.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9.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9.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9.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9.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9.5" customHeight="1" x14ac:dyDescent="0.25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26" ht="19.5" customHeight="1" x14ac:dyDescent="0.2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26" ht="19.5" customHeight="1" x14ac:dyDescent="0.25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26" ht="19.5" customHeight="1" x14ac:dyDescent="0.25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26" ht="19.5" customHeight="1" x14ac:dyDescent="0.25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26" ht="19.5" customHeight="1" x14ac:dyDescent="0.25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26" ht="19.5" customHeight="1" x14ac:dyDescent="0.25"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26" ht="19.5" customHeight="1" x14ac:dyDescent="0.25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26" ht="19.5" customHeight="1" x14ac:dyDescent="0.25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26" ht="19.5" customHeight="1" x14ac:dyDescent="0.25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26" ht="19.5" customHeight="1" x14ac:dyDescent="0.25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26" ht="19.5" customHeight="1" x14ac:dyDescent="0.25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26" ht="19.5" customHeight="1" x14ac:dyDescent="0.25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26" ht="19.5" customHeight="1" x14ac:dyDescent="0.25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26" ht="19.5" customHeight="1" x14ac:dyDescent="0.25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3:16" ht="19.5" customHeight="1" x14ac:dyDescent="0.25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3:16" ht="19.5" customHeight="1" x14ac:dyDescent="0.25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3:16" ht="19.5" customHeight="1" x14ac:dyDescent="0.25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3:16" ht="19.5" customHeight="1" x14ac:dyDescent="0.25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3:16" ht="19.5" customHeight="1" x14ac:dyDescent="0.25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3:16" ht="19.5" customHeight="1" x14ac:dyDescent="0.25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3:16" ht="15.75" customHeight="1" x14ac:dyDescent="0.25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3:16" ht="15.75" customHeight="1" x14ac:dyDescent="0.25"/>
    <row r="57" spans="3:16" ht="15.75" customHeight="1" x14ac:dyDescent="0.25"/>
    <row r="58" spans="3:16" ht="15.75" customHeight="1" x14ac:dyDescent="0.25"/>
    <row r="59" spans="3:16" ht="15.75" customHeight="1" x14ac:dyDescent="0.25"/>
    <row r="60" spans="3:16" ht="15.75" customHeight="1" x14ac:dyDescent="0.25"/>
    <row r="61" spans="3:16" ht="15.75" customHeight="1" x14ac:dyDescent="0.25"/>
    <row r="62" spans="3:16" ht="15.75" customHeight="1" x14ac:dyDescent="0.25"/>
    <row r="63" spans="3:16" ht="15.75" customHeight="1" x14ac:dyDescent="0.25"/>
    <row r="64" spans="3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HU'!$B$6:$B$23</xm:f>
          </x14:formula1>
          <xm:sqref>C10:C11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f31ffb-9912-4459-99c8-b26e82094b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B39E34F5A9B445B025C05B2A05D030" ma:contentTypeVersion="11" ma:contentTypeDescription="Crear nuevo documento." ma:contentTypeScope="" ma:versionID="2a2956a87588edf4ce379edf3c3be480">
  <xsd:schema xmlns:xsd="http://www.w3.org/2001/XMLSchema" xmlns:xs="http://www.w3.org/2001/XMLSchema" xmlns:p="http://schemas.microsoft.com/office/2006/metadata/properties" xmlns:ns3="f1f31ffb-9912-4459-99c8-b26e82094b51" xmlns:ns4="ce621958-37b1-43fe-a1f1-1aad67996a88" targetNamespace="http://schemas.microsoft.com/office/2006/metadata/properties" ma:root="true" ma:fieldsID="8bd84539a3a8042f4cdf127bd4ce11c8" ns3:_="" ns4:_="">
    <xsd:import namespace="f1f31ffb-9912-4459-99c8-b26e82094b51"/>
    <xsd:import namespace="ce621958-37b1-43fe-a1f1-1aad67996a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31ffb-9912-4459-99c8-b26e8209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21958-37b1-43fe-a1f1-1aad67996a8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3ABF18-A89B-4991-BA04-B6F3A8CC01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A4FD66-876C-4EEB-99BD-7F67E4223CA2}">
  <ds:schemaRefs>
    <ds:schemaRef ds:uri="http://schemas.microsoft.com/office/2006/metadata/properties"/>
    <ds:schemaRef ds:uri="http://schemas.microsoft.com/office/infopath/2007/PartnerControls"/>
    <ds:schemaRef ds:uri="f1f31ffb-9912-4459-99c8-b26e82094b51"/>
  </ds:schemaRefs>
</ds:datastoreItem>
</file>

<file path=customXml/itemProps3.xml><?xml version="1.0" encoding="utf-8"?>
<ds:datastoreItem xmlns:ds="http://schemas.openxmlformats.org/officeDocument/2006/customXml" ds:itemID="{183AC283-13D1-4E8A-9A03-6CD312FD47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31ffb-9912-4459-99c8-b26e82094b51"/>
    <ds:schemaRef ds:uri="ce621958-37b1-43fe-a1f1-1aad67996a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>REISHEL DAYELIN TIPAN AVILA</cp:lastModifiedBy>
  <cp:revision/>
  <dcterms:created xsi:type="dcterms:W3CDTF">2025-11-11T12:29:14Z</dcterms:created>
  <dcterms:modified xsi:type="dcterms:W3CDTF">2025-12-04T14:48:18Z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0x010100EDB39E34F5A9B445B025C05B2A05D030</vt:lpwstr>
  </property>
</Properties>
</file>