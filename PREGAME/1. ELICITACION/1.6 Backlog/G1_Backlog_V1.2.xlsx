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ishel\Downloads\"/>
    </mc:Choice>
  </mc:AlternateContent>
  <xr:revisionPtr revIDLastSave="0" documentId="13_ncr:1_{C7DB6F1B-66AA-43B0-B9DE-21499931EA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1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I25" i="3" l="1"/>
  <c r="H25" i="3"/>
  <c r="G25" i="3"/>
  <c r="F25" i="3"/>
  <c r="E25" i="3"/>
  <c r="D25" i="3"/>
  <c r="D24" i="3"/>
  <c r="J7" i="3" l="1"/>
  <c r="J8" i="3"/>
  <c r="J9" i="3"/>
  <c r="J10" i="3"/>
  <c r="E24" i="3"/>
  <c r="F24" i="3" s="1"/>
  <c r="G24" i="3" s="1"/>
  <c r="H24" i="3" s="1"/>
  <c r="I24" i="3" s="1"/>
  <c r="C24" i="3"/>
  <c r="J4" i="3" l="1"/>
  <c r="J5" i="3"/>
  <c r="J6" i="3"/>
  <c r="J11" i="3"/>
  <c r="J12" i="3"/>
  <c r="J13" i="3"/>
  <c r="J14" i="3"/>
  <c r="J15" i="3"/>
  <c r="J16" i="3"/>
  <c r="J17" i="3"/>
  <c r="J18" i="3"/>
  <c r="J19" i="3"/>
  <c r="J20" i="3"/>
  <c r="J21" i="3"/>
  <c r="J22" i="3"/>
  <c r="J3" i="3"/>
  <c r="C25" i="3"/>
</calcChain>
</file>

<file path=xl/sharedStrings.xml><?xml version="1.0" encoding="utf-8"?>
<sst xmlns="http://schemas.openxmlformats.org/spreadsheetml/2006/main" count="322" uniqueCount="162">
  <si>
    <t>ID</t>
  </si>
  <si>
    <t>Tema</t>
  </si>
  <si>
    <t>Como un…</t>
  </si>
  <si>
    <t>Necesito…</t>
  </si>
  <si>
    <t>Así podré…</t>
  </si>
  <si>
    <t>Notas</t>
  </si>
  <si>
    <t>Prioridad</t>
  </si>
  <si>
    <t>Estatus</t>
  </si>
  <si>
    <t>REQ001</t>
  </si>
  <si>
    <t>Iniciar sesión</t>
  </si>
  <si>
    <t>Administrador / Empleado</t>
  </si>
  <si>
    <t>Validar credenciales para acceder al sistema</t>
  </si>
  <si>
    <t>Garantizar que solo usuarios autorizados ingresen y manejen la información</t>
  </si>
  <si>
    <t>Validar usuario, contraseña, intentos y manejo de errores</t>
  </si>
  <si>
    <t>Alta</t>
  </si>
  <si>
    <t>No iniciado</t>
  </si>
  <si>
    <t>REQ002</t>
  </si>
  <si>
    <t>Modificar contraseña</t>
  </si>
  <si>
    <t>Cambiar mi contraseña actual validando políticas de seguridad</t>
  </si>
  <si>
    <t>Mantener segura mi cuenta y actualizar credenciales cuando sea necesario</t>
  </si>
  <si>
    <t>Validar contraseña actual, nuevas políticas, confirmación y cifrado</t>
  </si>
  <si>
    <t>REQ003</t>
  </si>
  <si>
    <t>Añadir producto</t>
  </si>
  <si>
    <t>Administrador</t>
  </si>
  <si>
    <t>Registrar nombre, precio, categoría, material, color e imagen</t>
  </si>
  <si>
    <t>Mantener un catálogo actualizado para mostrar a los clientes</t>
  </si>
  <si>
    <t>Validar formato de precio e imagen; campos obligatorios</t>
  </si>
  <si>
    <t>REQ004</t>
  </si>
  <si>
    <t>Consultar producto</t>
  </si>
  <si>
    <t>Consultar productos por nombre, categoría, material, color o precio</t>
  </si>
  <si>
    <t>Localizar rápidamente productos para gestionarlos o mostrarlos</t>
  </si>
  <si>
    <t>Permitir búsqueda parcial y paginación</t>
  </si>
  <si>
    <t>REQ005</t>
  </si>
  <si>
    <t>Modificar producto</t>
  </si>
  <si>
    <t>Actualizar los datos de un producto existente</t>
  </si>
  <si>
    <t>Mantener información correcta y vigente en el catálogo</t>
  </si>
  <si>
    <t>Registrar fecha de última modificación</t>
  </si>
  <si>
    <t>REQ006</t>
  </si>
  <si>
    <t>Eliminar producto</t>
  </si>
  <si>
    <t>Eliminar un producto del catálogo</t>
  </si>
  <si>
    <t>Evitar mostrar productos obsoletos o fuera de venta</t>
  </si>
  <si>
    <t>Confirmación clara antes de borrar</t>
  </si>
  <si>
    <t>Media</t>
  </si>
  <si>
    <t>REQ007</t>
  </si>
  <si>
    <t>Restaurar producto</t>
  </si>
  <si>
    <t>Recuperar un producto eliminado lógicamente</t>
  </si>
  <si>
    <t>Reintegrarlo al catálogo y uso en proformas</t>
  </si>
  <si>
    <t>Validar duplicidad antes de restaurar</t>
  </si>
  <si>
    <t>REQ008</t>
  </si>
  <si>
    <t>Gestionar ofertas</t>
  </si>
  <si>
    <t>Registrar, modificar y eliminar ofertas de productos</t>
  </si>
  <si>
    <t>Aplicar descuentos oficiales sin errores</t>
  </si>
  <si>
    <t>Validar fechas de inicio y fin</t>
  </si>
  <si>
    <t>REQ009</t>
  </si>
  <si>
    <t>Visualizar catálogo de productos</t>
  </si>
  <si>
    <t>Cliente</t>
  </si>
  <si>
    <t>Ver catálogo con filtros básicos</t>
  </si>
  <si>
    <t>Consultar productos disponibles sin depender del administrador</t>
  </si>
  <si>
    <t>Optimizado para móviles</t>
  </si>
  <si>
    <t>REQ010</t>
  </si>
  <si>
    <t>Generar proforma</t>
  </si>
  <si>
    <t>Crear proforma con datos de cliente, productos y descuentos</t>
  </si>
  <si>
    <t>Emitir documentos claros con subtotal, impuestos y total</t>
  </si>
  <si>
    <t>Definir numeración estándar</t>
  </si>
  <si>
    <t>REQ011</t>
  </si>
  <si>
    <t>Actualizar proforma</t>
  </si>
  <si>
    <t>Editar una proforma existente</t>
  </si>
  <si>
    <t>Corregir información sin crear una nueva</t>
  </si>
  <si>
    <t>Registrar historial mínimo de cambios</t>
  </si>
  <si>
    <t>REQ012</t>
  </si>
  <si>
    <t>Consultar proforma</t>
  </si>
  <si>
    <t>Consultar proformas por número, cliente o fecha</t>
  </si>
  <si>
    <t>Encontrar proformas fácilmente</t>
  </si>
  <si>
    <t>Permitir ordenar por fecha y total</t>
  </si>
  <si>
    <t>REQ013</t>
  </si>
  <si>
    <t>Eliminar proforma</t>
  </si>
  <si>
    <t>Eliminar o anular una proforma</t>
  </si>
  <si>
    <t>Evitar usar proformas incorrectas en reportes</t>
  </si>
  <si>
    <t>Usar eliminación lógica (estado “Anulada”)</t>
  </si>
  <si>
    <t>REQ014</t>
  </si>
  <si>
    <t>Exportar proforma a PDF/Excel</t>
  </si>
  <si>
    <t>Exportar proforma a PDF y Excel</t>
  </si>
  <si>
    <t>Compartir con clientes o archivar</t>
  </si>
  <si>
    <t>Probar exportación en distintos navegadores</t>
  </si>
  <si>
    <t>REQ015</t>
  </si>
  <si>
    <t>Restaurar proforma</t>
  </si>
  <si>
    <t>Restaurar una proforma que fue eliminada lógicamente</t>
  </si>
  <si>
    <t>Recuperar información importante y volver a utilizarla o modificarla</t>
  </si>
  <si>
    <t>Solo restaurables si tienen menos de 1 año de eliminación; registrar usuario y fecha</t>
  </si>
  <si>
    <t>REQ016</t>
  </si>
  <si>
    <t>Compartir catálogo</t>
  </si>
  <si>
    <t>Compartir catálogo por redes y QR</t>
  </si>
  <si>
    <t>Difundir productos y atraer clientes</t>
  </si>
  <si>
    <t>Verificar lectura del QR en distintos dispositivos</t>
  </si>
  <si>
    <t>REQ017</t>
  </si>
  <si>
    <t>Reporte de proformas</t>
  </si>
  <si>
    <t>Generar reportes mensuales, anuales o por cliente</t>
  </si>
  <si>
    <t>Analizar ventas y tomar decisiones comerciales</t>
  </si>
  <si>
    <t>Permitir exportar a PDF/Excel</t>
  </si>
  <si>
    <t>Necesito</t>
  </si>
  <si>
    <t>Encargado</t>
  </si>
  <si>
    <t>Status</t>
  </si>
  <si>
    <t>Horas</t>
  </si>
  <si>
    <t>En proceso</t>
  </si>
  <si>
    <t>REQ001-1</t>
  </si>
  <si>
    <t>REQ001-2</t>
  </si>
  <si>
    <t>REQ001-3</t>
  </si>
  <si>
    <t>REQ001-4</t>
  </si>
  <si>
    <t xml:space="preserve">Administrador / Cliente </t>
  </si>
  <si>
    <t>REQ002-1</t>
  </si>
  <si>
    <t>Daniel Guamán</t>
  </si>
  <si>
    <t>REQ002-2</t>
  </si>
  <si>
    <t>REQ002-3</t>
  </si>
  <si>
    <t xml:space="preserve"> </t>
  </si>
  <si>
    <t>REQ002-4</t>
  </si>
  <si>
    <t>REQ003-1</t>
  </si>
  <si>
    <t>Jairo Bonilla</t>
  </si>
  <si>
    <t>REQ003-2</t>
  </si>
  <si>
    <t>REQ003-3</t>
  </si>
  <si>
    <t>REQ003-4</t>
  </si>
  <si>
    <t>REQ003-5</t>
  </si>
  <si>
    <t>REQ003-6</t>
  </si>
  <si>
    <t>REQ003-7</t>
  </si>
  <si>
    <t>REQ004-1</t>
  </si>
  <si>
    <t>REQ004-2</t>
  </si>
  <si>
    <t>REQ004-3</t>
  </si>
  <si>
    <t>REQ004-4</t>
  </si>
  <si>
    <t>REQ004-5</t>
  </si>
  <si>
    <t>Estimado</t>
  </si>
  <si>
    <t>Día 5</t>
  </si>
  <si>
    <t>Día 4</t>
  </si>
  <si>
    <t>Día 3</t>
  </si>
  <si>
    <t>Día 2</t>
  </si>
  <si>
    <t>Día 1</t>
  </si>
  <si>
    <t>Total de Horas</t>
  </si>
  <si>
    <t>Horas Estimadas</t>
  </si>
  <si>
    <t>Horas Estimadas
Restantes</t>
  </si>
  <si>
    <t>Planificado</t>
  </si>
  <si>
    <r>
      <t xml:space="preserve">Crear la tabla </t>
    </r>
    <r>
      <rPr>
        <sz val="10"/>
        <color rgb="FF000000"/>
        <rFont val="Arial Unicode MS"/>
      </rPr>
      <t>usuarios</t>
    </r>
    <r>
      <rPr>
        <sz val="10"/>
        <color rgb="FF000000"/>
        <rFont val="Arial"/>
        <family val="2"/>
        <scheme val="minor"/>
      </rPr>
      <t xml:space="preserve"> en MySQL con roles, intentos, expiración, estado</t>
    </r>
  </si>
  <si>
    <t>Crear servicio backend /auth/login validando credenciales con hash</t>
  </si>
  <si>
    <t>Implementar bloqueo de usuario por intentos fallidos y mensajes controlados</t>
  </si>
  <si>
    <t>Kevin Amaguaña</t>
  </si>
  <si>
    <t>Construir pantalla React para cambio con reglas visuales (contraseña fuerte, coincidencia)</t>
  </si>
  <si>
    <t>Agregar tabla y campos extras: última actualización, fecha, intentos</t>
  </si>
  <si>
    <r>
      <t xml:space="preserve">Crear API </t>
    </r>
    <r>
      <rPr>
        <sz val="10"/>
        <color rgb="FF000000"/>
        <rFont val="Arial Unicode MS"/>
      </rPr>
      <t>/auth/update-password</t>
    </r>
    <r>
      <rPr>
        <sz val="10"/>
        <color rgb="FF000000"/>
        <rFont val="Arial"/>
        <family val="2"/>
        <scheme val="minor"/>
      </rPr>
      <t xml:space="preserve"> validando contraseña actual</t>
    </r>
  </si>
  <si>
    <t>Implementar cifrado y validación de reglas (longitud, combinación)</t>
  </si>
  <si>
    <t>Crear tabla productos en MySQL (precio, color, categoría, img, fechas)</t>
  </si>
  <si>
    <t>Implementar API POST /productos para registrar productos</t>
  </si>
  <si>
    <t>Subida de imágenes a servidor (o carpeta storage) con validaciones de peso/formato</t>
  </si>
  <si>
    <t>Guardar URL de imagen en BD y asociarla al producto</t>
  </si>
  <si>
    <t>Crear mensajes de éxito/error y reset de campos</t>
  </si>
  <si>
    <r>
      <t xml:space="preserve">Crear API GET </t>
    </r>
    <r>
      <rPr>
        <sz val="10"/>
        <color rgb="FF000000"/>
        <rFont val="Arial Unicode MS"/>
      </rPr>
      <t>/productos</t>
    </r>
    <r>
      <rPr>
        <sz val="10"/>
        <color rgb="FF000000"/>
        <rFont val="Arial"/>
        <family val="2"/>
        <scheme val="minor"/>
      </rPr>
      <t xml:space="preserve"> con filtros (nombre, categoría, precio rango)</t>
    </r>
  </si>
  <si>
    <t>Implementar paginación en la API para optimizar resultados</t>
  </si>
  <si>
    <t>Validar parámetros de consulta desde frontend</t>
  </si>
  <si>
    <t>Construir pantalla React con tabla filtrada y paginada</t>
  </si>
  <si>
    <t>Construir formulario React (campos obligatorios y UX)</t>
  </si>
  <si>
    <t>Construir pantalla React (formulario del login, captura y consumo API)</t>
  </si>
  <si>
    <t>Verificar visualmente que el producto registrado aparece en la lista del catálogo</t>
  </si>
  <si>
    <t>Probar la consulta con filtros (nombre vacío, precios fuera de rango, categoría inexistente)</t>
  </si>
  <si>
    <t>Día 6</t>
  </si>
  <si>
    <t>Durante el proceso de desarrollo del producto software, el burndown chart evidencia que el esfuerzo estimado se cumplió de manera progresiva a lo largo del sprint, se presentaron ligeras variaciones entre lo planificado y lo ejecutado, particularmente en la mitad del ciclo, donde algunas tareas requirieron mayor dedicación debido a ajustes funcionales y validaciones específicas. Sin embargo, la redistribución oportuna del trabajo permitió recuperar el ritmo y completar la totalidad de las actividades dentro del tiempo establecido. Como resultado, se confirma una adecuada gestión del esfuerzo, una correcta priorización de tareas y una respuesta efectiva ante los imprevistos propios del desarrollo de software.</t>
  </si>
  <si>
    <t xml:space="preserve">Administrador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</si>
</sst>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rgb="FFFF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2F549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5" fillId="0" borderId="1" xfId="0" applyFont="1" applyBorder="1"/>
    <xf numFmtId="0" fontId="0" fillId="0" borderId="1" xfId="0" applyBorder="1"/>
    <xf numFmtId="0" fontId="0" fillId="0" borderId="2" xfId="0" applyBorder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4" xfId="0" applyBorder="1"/>
    <xf numFmtId="0" fontId="6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vertical="top" wrapText="1"/>
    </xf>
    <xf numFmtId="0" fontId="9" fillId="0" borderId="3" xfId="0" applyFont="1" applyBorder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5" fillId="5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9" xfId="0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0" xfId="0" applyFont="1" applyAlignment="1">
      <alignment vertical="center" wrapText="1"/>
    </xf>
    <xf numFmtId="0" fontId="4" fillId="5" borderId="7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12" fillId="6" borderId="1" xfId="0" applyFont="1" applyFill="1" applyBorder="1" applyAlignment="1">
      <alignment vertical="top" wrapText="1"/>
    </xf>
    <xf numFmtId="0" fontId="12" fillId="6" borderId="4" xfId="0" applyFont="1" applyFill="1" applyBorder="1" applyAlignment="1">
      <alignment horizontal="right" vertical="top" wrapText="1"/>
    </xf>
    <xf numFmtId="0" fontId="12" fillId="6" borderId="4" xfId="0" applyFont="1" applyFill="1" applyBorder="1" applyAlignment="1">
      <alignment vertical="top" wrapText="1"/>
    </xf>
    <xf numFmtId="0" fontId="12" fillId="6" borderId="5" xfId="0" applyFont="1" applyFill="1" applyBorder="1" applyAlignment="1">
      <alignment horizontal="right" vertical="top" wrapText="1"/>
    </xf>
    <xf numFmtId="0" fontId="13" fillId="0" borderId="2" xfId="0" applyFont="1" applyBorder="1" applyAlignment="1">
      <alignment vertical="top" wrapText="1"/>
    </xf>
    <xf numFmtId="0" fontId="3" fillId="2" borderId="8" xfId="0" applyFont="1" applyFill="1" applyBorder="1"/>
    <xf numFmtId="0" fontId="3" fillId="0" borderId="8" xfId="0" applyFont="1" applyBorder="1"/>
    <xf numFmtId="0" fontId="0" fillId="3" borderId="6" xfId="0" applyFill="1" applyBorder="1"/>
    <xf numFmtId="0" fontId="5" fillId="0" borderId="4" xfId="0" applyFont="1" applyBorder="1"/>
    <xf numFmtId="0" fontId="12" fillId="0" borderId="4" xfId="0" applyFont="1" applyBorder="1"/>
    <xf numFmtId="0" fontId="0" fillId="4" borderId="8" xfId="0" applyFill="1" applyBorder="1"/>
    <xf numFmtId="0" fontId="5" fillId="0" borderId="6" xfId="0" applyFont="1" applyBorder="1"/>
    <xf numFmtId="0" fontId="5" fillId="0" borderId="8" xfId="0" applyFont="1" applyBorder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0" fillId="0" borderId="0" xfId="0"/>
    <xf numFmtId="0" fontId="9" fillId="0" borderId="4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B4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burdonchart!$B$24:$I$24</c:f>
              <c:numCache>
                <c:formatCode>General</c:formatCode>
                <c:ptCount val="8"/>
                <c:pt idx="0">
                  <c:v>0</c:v>
                </c:pt>
                <c:pt idx="1">
                  <c:v>36</c:v>
                </c:pt>
                <c:pt idx="2">
                  <c:v>33</c:v>
                </c:pt>
                <c:pt idx="3">
                  <c:v>27</c:v>
                </c:pt>
                <c:pt idx="4">
                  <c:v>21</c:v>
                </c:pt>
                <c:pt idx="5">
                  <c:v>14</c:v>
                </c:pt>
                <c:pt idx="6">
                  <c:v>4</c:v>
                </c:pt>
                <c:pt idx="7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burdonchart!$B$25:$I$25</c:f>
              <c:numCache>
                <c:formatCode>General</c:formatCode>
                <c:ptCount val="8"/>
                <c:pt idx="0">
                  <c:v>0</c:v>
                </c:pt>
                <c:pt idx="1">
                  <c:v>36</c:v>
                </c:pt>
                <c:pt idx="2">
                  <c:v>30</c:v>
                </c:pt>
                <c:pt idx="3">
                  <c:v>24</c:v>
                </c:pt>
                <c:pt idx="4">
                  <c:v>18</c:v>
                </c:pt>
                <c:pt idx="5">
                  <c:v>12</c:v>
                </c:pt>
                <c:pt idx="6">
                  <c:v>6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200025</xdr:colOff>
      <xdr:row>0</xdr:row>
      <xdr:rowOff>28575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3"/>
  <sheetViews>
    <sheetView topLeftCell="C1" workbookViewId="0">
      <selection activeCell="C17" sqref="C17"/>
    </sheetView>
  </sheetViews>
  <sheetFormatPr baseColWidth="10" defaultColWidth="12.5546875" defaultRowHeight="15" customHeight="1"/>
  <cols>
    <col min="1" max="1" width="12.44140625" style="5" customWidth="1"/>
    <col min="2" max="2" width="30.33203125" style="5" customWidth="1"/>
    <col min="3" max="3" width="36" style="5" customWidth="1"/>
    <col min="4" max="4" width="41.44140625" style="5" customWidth="1"/>
    <col min="5" max="5" width="54.44140625" style="5" customWidth="1"/>
    <col min="6" max="6" width="38.44140625" style="5" customWidth="1"/>
    <col min="7" max="26" width="12.44140625" style="5" customWidth="1"/>
    <col min="27" max="16384" width="12.5546875" style="5"/>
  </cols>
  <sheetData>
    <row r="1" spans="1:26" ht="15.7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6.4">
      <c r="A2" s="19" t="s">
        <v>8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103</v>
      </c>
      <c r="I2" s="8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6.4">
      <c r="A3" s="19" t="s">
        <v>16</v>
      </c>
      <c r="B3" s="11" t="s">
        <v>17</v>
      </c>
      <c r="C3" s="11" t="s">
        <v>10</v>
      </c>
      <c r="D3" s="11" t="s">
        <v>18</v>
      </c>
      <c r="E3" s="11" t="s">
        <v>19</v>
      </c>
      <c r="F3" s="11" t="s">
        <v>20</v>
      </c>
      <c r="G3" s="11" t="s">
        <v>14</v>
      </c>
      <c r="H3" s="11" t="s">
        <v>103</v>
      </c>
      <c r="I3" s="8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6.4">
      <c r="A4" s="19" t="s">
        <v>21</v>
      </c>
      <c r="B4" s="11" t="s">
        <v>22</v>
      </c>
      <c r="C4" s="11" t="s">
        <v>23</v>
      </c>
      <c r="D4" s="11" t="s">
        <v>24</v>
      </c>
      <c r="E4" s="11" t="s">
        <v>25</v>
      </c>
      <c r="F4" s="11" t="s">
        <v>26</v>
      </c>
      <c r="G4" s="11" t="s">
        <v>14</v>
      </c>
      <c r="H4" s="11" t="s">
        <v>103</v>
      </c>
      <c r="I4" s="6"/>
    </row>
    <row r="5" spans="1:26" ht="26.4">
      <c r="A5" s="19" t="s">
        <v>27</v>
      </c>
      <c r="B5" s="11" t="s">
        <v>28</v>
      </c>
      <c r="C5" s="11" t="s">
        <v>23</v>
      </c>
      <c r="D5" s="11" t="s">
        <v>29</v>
      </c>
      <c r="E5" s="11" t="s">
        <v>30</v>
      </c>
      <c r="F5" s="11" t="s">
        <v>31</v>
      </c>
      <c r="G5" s="11" t="s">
        <v>14</v>
      </c>
      <c r="H5" s="11" t="s">
        <v>103</v>
      </c>
      <c r="I5" s="6"/>
    </row>
    <row r="6" spans="1:26" ht="13.2">
      <c r="A6" s="19" t="s">
        <v>32</v>
      </c>
      <c r="B6" s="11" t="s">
        <v>33</v>
      </c>
      <c r="C6" s="11" t="s">
        <v>23</v>
      </c>
      <c r="D6" s="11" t="s">
        <v>34</v>
      </c>
      <c r="E6" s="11" t="s">
        <v>35</v>
      </c>
      <c r="F6" s="11" t="s">
        <v>36</v>
      </c>
      <c r="G6" s="11" t="s">
        <v>14</v>
      </c>
      <c r="H6" s="11" t="s">
        <v>15</v>
      </c>
      <c r="I6" s="6"/>
    </row>
    <row r="7" spans="1:26" ht="13.2">
      <c r="A7" s="19" t="s">
        <v>37</v>
      </c>
      <c r="B7" s="11" t="s">
        <v>38</v>
      </c>
      <c r="C7" s="11" t="s">
        <v>23</v>
      </c>
      <c r="D7" s="11" t="s">
        <v>39</v>
      </c>
      <c r="E7" s="11" t="s">
        <v>40</v>
      </c>
      <c r="F7" s="11" t="s">
        <v>41</v>
      </c>
      <c r="G7" s="11" t="s">
        <v>42</v>
      </c>
      <c r="H7" s="11" t="s">
        <v>15</v>
      </c>
      <c r="I7" s="6"/>
    </row>
    <row r="8" spans="1:26" ht="15.75" customHeight="1">
      <c r="A8" s="19" t="s">
        <v>43</v>
      </c>
      <c r="B8" s="11" t="s">
        <v>44</v>
      </c>
      <c r="C8" s="11" t="s">
        <v>23</v>
      </c>
      <c r="D8" s="11" t="s">
        <v>45</v>
      </c>
      <c r="E8" s="11" t="s">
        <v>46</v>
      </c>
      <c r="F8" s="11" t="s">
        <v>47</v>
      </c>
      <c r="G8" s="11" t="s">
        <v>42</v>
      </c>
      <c r="H8" s="11" t="s">
        <v>15</v>
      </c>
      <c r="I8" s="6"/>
    </row>
    <row r="9" spans="1:26" ht="15.75" customHeight="1">
      <c r="A9" s="19" t="s">
        <v>48</v>
      </c>
      <c r="B9" s="11" t="s">
        <v>49</v>
      </c>
      <c r="C9" s="11" t="s">
        <v>23</v>
      </c>
      <c r="D9" s="11" t="s">
        <v>50</v>
      </c>
      <c r="E9" s="11" t="s">
        <v>51</v>
      </c>
      <c r="F9" s="11" t="s">
        <v>52</v>
      </c>
      <c r="G9" s="11" t="s">
        <v>14</v>
      </c>
      <c r="H9" s="11" t="s">
        <v>15</v>
      </c>
      <c r="I9" s="6"/>
    </row>
    <row r="10" spans="1:26" ht="15.75" customHeight="1">
      <c r="A10" s="19" t="s">
        <v>53</v>
      </c>
      <c r="B10" s="11" t="s">
        <v>54</v>
      </c>
      <c r="C10" s="11" t="s">
        <v>55</v>
      </c>
      <c r="D10" s="11" t="s">
        <v>56</v>
      </c>
      <c r="E10" s="11" t="s">
        <v>57</v>
      </c>
      <c r="F10" s="11" t="s">
        <v>58</v>
      </c>
      <c r="G10" s="11" t="s">
        <v>14</v>
      </c>
      <c r="H10" s="11" t="s">
        <v>15</v>
      </c>
      <c r="I10" s="6"/>
    </row>
    <row r="11" spans="1:26" ht="15.75" customHeight="1">
      <c r="A11" s="19" t="s">
        <v>59</v>
      </c>
      <c r="B11" s="11" t="s">
        <v>60</v>
      </c>
      <c r="C11" s="11" t="s">
        <v>23</v>
      </c>
      <c r="D11" s="11" t="s">
        <v>61</v>
      </c>
      <c r="E11" s="11" t="s">
        <v>62</v>
      </c>
      <c r="F11" s="11" t="s">
        <v>63</v>
      </c>
      <c r="G11" s="11" t="s">
        <v>14</v>
      </c>
      <c r="H11" s="11" t="s">
        <v>15</v>
      </c>
      <c r="I11" s="6"/>
    </row>
    <row r="12" spans="1:26" ht="15.75" customHeight="1">
      <c r="A12" s="19" t="s">
        <v>64</v>
      </c>
      <c r="B12" s="11" t="s">
        <v>65</v>
      </c>
      <c r="C12" s="11" t="s">
        <v>23</v>
      </c>
      <c r="D12" s="11" t="s">
        <v>66</v>
      </c>
      <c r="E12" s="11" t="s">
        <v>67</v>
      </c>
      <c r="F12" s="11" t="s">
        <v>68</v>
      </c>
      <c r="G12" s="11" t="s">
        <v>42</v>
      </c>
      <c r="H12" s="11" t="s">
        <v>15</v>
      </c>
      <c r="I12" s="6"/>
    </row>
    <row r="13" spans="1:26" ht="15.75" customHeight="1">
      <c r="A13" s="19" t="s">
        <v>69</v>
      </c>
      <c r="B13" s="11" t="s">
        <v>70</v>
      </c>
      <c r="C13" s="11" t="s">
        <v>23</v>
      </c>
      <c r="D13" s="11" t="s">
        <v>71</v>
      </c>
      <c r="E13" s="11" t="s">
        <v>72</v>
      </c>
      <c r="F13" s="11" t="s">
        <v>73</v>
      </c>
      <c r="G13" s="11" t="s">
        <v>14</v>
      </c>
      <c r="H13" s="11" t="s">
        <v>15</v>
      </c>
      <c r="I13" s="6"/>
    </row>
    <row r="14" spans="1:26" ht="15.75" customHeight="1">
      <c r="A14" s="19" t="s">
        <v>74</v>
      </c>
      <c r="B14" s="11" t="s">
        <v>75</v>
      </c>
      <c r="C14" s="11" t="s">
        <v>23</v>
      </c>
      <c r="D14" s="11" t="s">
        <v>76</v>
      </c>
      <c r="E14" s="11" t="s">
        <v>77</v>
      </c>
      <c r="F14" s="11" t="s">
        <v>78</v>
      </c>
      <c r="G14" s="11" t="s">
        <v>42</v>
      </c>
      <c r="H14" s="11" t="s">
        <v>15</v>
      </c>
      <c r="I14" s="6"/>
    </row>
    <row r="15" spans="1:26" ht="15.75" customHeight="1">
      <c r="A15" s="19" t="s">
        <v>79</v>
      </c>
      <c r="B15" s="11" t="s">
        <v>80</v>
      </c>
      <c r="C15" s="11" t="s">
        <v>23</v>
      </c>
      <c r="D15" s="11" t="s">
        <v>81</v>
      </c>
      <c r="E15" s="11" t="s">
        <v>82</v>
      </c>
      <c r="F15" s="11" t="s">
        <v>83</v>
      </c>
      <c r="G15" s="11" t="s">
        <v>14</v>
      </c>
      <c r="H15" s="11" t="s">
        <v>15</v>
      </c>
      <c r="I15" s="6"/>
    </row>
    <row r="16" spans="1:26" ht="15.75" customHeight="1">
      <c r="A16" s="19" t="s">
        <v>84</v>
      </c>
      <c r="B16" s="2" t="s">
        <v>85</v>
      </c>
      <c r="C16" s="2" t="s">
        <v>23</v>
      </c>
      <c r="D16" s="2" t="s">
        <v>86</v>
      </c>
      <c r="E16" s="2" t="s">
        <v>87</v>
      </c>
      <c r="F16" s="2" t="s">
        <v>88</v>
      </c>
      <c r="G16" s="2" t="s">
        <v>42</v>
      </c>
      <c r="H16" s="2" t="s">
        <v>15</v>
      </c>
      <c r="I16" s="6"/>
    </row>
    <row r="17" spans="1:9" ht="15.75" customHeight="1">
      <c r="A17" s="19" t="s">
        <v>89</v>
      </c>
      <c r="B17" s="11" t="s">
        <v>90</v>
      </c>
      <c r="C17" s="25" t="s">
        <v>108</v>
      </c>
      <c r="D17" s="11" t="s">
        <v>91</v>
      </c>
      <c r="E17" s="11" t="s">
        <v>92</v>
      </c>
      <c r="F17" s="11" t="s">
        <v>93</v>
      </c>
      <c r="G17" s="11" t="s">
        <v>42</v>
      </c>
      <c r="H17" s="11" t="s">
        <v>15</v>
      </c>
      <c r="I17" s="6"/>
    </row>
    <row r="18" spans="1:9" ht="15.75" customHeight="1">
      <c r="A18" s="19" t="s">
        <v>94</v>
      </c>
      <c r="B18" s="11" t="s">
        <v>95</v>
      </c>
      <c r="C18" s="11" t="s">
        <v>23</v>
      </c>
      <c r="D18" s="11" t="s">
        <v>96</v>
      </c>
      <c r="E18" s="11" t="s">
        <v>97</v>
      </c>
      <c r="F18" s="11" t="s">
        <v>98</v>
      </c>
      <c r="G18" s="11" t="s">
        <v>42</v>
      </c>
      <c r="H18" s="11" t="s">
        <v>15</v>
      </c>
      <c r="I18" s="6"/>
    </row>
    <row r="19" spans="1:9" ht="15.75" customHeight="1">
      <c r="A19" s="6"/>
      <c r="B19" s="6"/>
      <c r="C19" s="6"/>
      <c r="D19" s="6"/>
      <c r="E19" s="6"/>
      <c r="F19" s="6"/>
      <c r="G19" s="6"/>
      <c r="H19" s="6"/>
    </row>
    <row r="20" spans="1:9" ht="15.75" customHeight="1">
      <c r="A20" s="20"/>
      <c r="B20" s="20"/>
      <c r="C20" s="20"/>
      <c r="D20" s="20"/>
      <c r="E20" s="20"/>
      <c r="F20" s="20"/>
      <c r="G20" s="20"/>
      <c r="H20" s="20"/>
    </row>
    <row r="21" spans="1:9" ht="15.75" customHeight="1"/>
    <row r="22" spans="1:9" ht="15.75" customHeight="1">
      <c r="B22" s="4"/>
      <c r="C22" s="4"/>
      <c r="D22" s="4"/>
      <c r="E22" s="4"/>
      <c r="F22" s="4"/>
      <c r="G22" s="4"/>
      <c r="H22" s="4"/>
      <c r="I22" s="4"/>
    </row>
    <row r="23" spans="1:9" ht="15.75" customHeight="1">
      <c r="B23"/>
      <c r="C23"/>
      <c r="D23"/>
      <c r="E23"/>
      <c r="F23"/>
      <c r="G23"/>
      <c r="H23" s="4"/>
      <c r="I23"/>
    </row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83"/>
  <sheetViews>
    <sheetView tabSelected="1" zoomScale="79" zoomScaleNormal="79" workbookViewId="0">
      <selection activeCell="H10" sqref="H10"/>
    </sheetView>
  </sheetViews>
  <sheetFormatPr baseColWidth="10" defaultColWidth="12.5546875" defaultRowHeight="15" customHeight="1"/>
  <cols>
    <col min="1" max="2" width="12.44140625" style="5" customWidth="1"/>
    <col min="3" max="3" width="35.6640625" style="5" customWidth="1"/>
    <col min="4" max="4" width="20" style="5" customWidth="1"/>
    <col min="5" max="5" width="20.44140625" style="5" customWidth="1"/>
    <col min="6" max="6" width="56.109375" style="5" customWidth="1"/>
    <col min="7" max="7" width="12.44140625" style="5" customWidth="1"/>
    <col min="8" max="8" width="19.33203125" style="5" customWidth="1"/>
    <col min="9" max="27" width="12.44140625" style="5" customWidth="1"/>
    <col min="28" max="16384" width="12.5546875" style="5"/>
  </cols>
  <sheetData>
    <row r="1" spans="1:27" ht="15.75" customHeight="1"/>
    <row r="2" spans="1:27" ht="15.75" customHeight="1">
      <c r="A2" s="6"/>
      <c r="B2" s="7" t="s">
        <v>0</v>
      </c>
      <c r="C2" s="7" t="s">
        <v>1</v>
      </c>
      <c r="D2" s="7" t="s">
        <v>2</v>
      </c>
      <c r="E2" s="7" t="s">
        <v>99</v>
      </c>
      <c r="F2" s="7" t="s">
        <v>4</v>
      </c>
      <c r="G2" s="7" t="s">
        <v>100</v>
      </c>
      <c r="H2" s="7" t="s">
        <v>5</v>
      </c>
      <c r="I2" s="7" t="s">
        <v>6</v>
      </c>
      <c r="J2" s="7" t="s">
        <v>101</v>
      </c>
      <c r="K2" s="7" t="s">
        <v>102</v>
      </c>
      <c r="L2" s="6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7" ht="42.6" customHeight="1">
      <c r="A3" s="6"/>
      <c r="B3" s="32" t="s">
        <v>8</v>
      </c>
      <c r="C3" s="33" t="s">
        <v>9</v>
      </c>
      <c r="D3" s="33" t="s">
        <v>23</v>
      </c>
      <c r="E3" s="33" t="s">
        <v>11</v>
      </c>
      <c r="F3" s="33" t="s">
        <v>12</v>
      </c>
      <c r="G3" s="33"/>
      <c r="H3" s="33" t="s">
        <v>13</v>
      </c>
      <c r="I3" s="33" t="s">
        <v>14</v>
      </c>
      <c r="J3" s="33" t="s">
        <v>137</v>
      </c>
      <c r="K3" s="34">
        <v>8</v>
      </c>
      <c r="L3" s="6"/>
      <c r="N3" s="4"/>
      <c r="O3"/>
      <c r="P3"/>
      <c r="Q3"/>
      <c r="R3"/>
      <c r="S3"/>
      <c r="T3"/>
      <c r="U3"/>
      <c r="V3"/>
      <c r="W3" s="4"/>
    </row>
    <row r="4" spans="1:27" ht="26.25" customHeight="1">
      <c r="A4" s="8"/>
      <c r="B4" s="9" t="s">
        <v>104</v>
      </c>
      <c r="C4" s="22" t="s">
        <v>138</v>
      </c>
      <c r="D4" s="11"/>
      <c r="E4" s="11"/>
      <c r="F4" s="11"/>
      <c r="G4" s="11" t="s">
        <v>116</v>
      </c>
      <c r="H4" s="11"/>
      <c r="I4" s="11" t="s">
        <v>14</v>
      </c>
      <c r="J4" s="11" t="s">
        <v>103</v>
      </c>
      <c r="K4" s="12">
        <v>2</v>
      </c>
      <c r="L4" s="8"/>
      <c r="M4" s="10"/>
      <c r="N4"/>
      <c r="O4"/>
      <c r="P4"/>
      <c r="Q4"/>
      <c r="R4"/>
      <c r="S4"/>
      <c r="T4"/>
      <c r="U4"/>
      <c r="V4"/>
      <c r="W4" s="4"/>
      <c r="X4" s="10"/>
      <c r="Y4" s="10"/>
      <c r="Z4" s="10"/>
      <c r="AA4" s="10"/>
    </row>
    <row r="5" spans="1:27" ht="26.4" customHeight="1">
      <c r="A5" s="8"/>
      <c r="B5" s="9" t="s">
        <v>105</v>
      </c>
      <c r="C5" s="23" t="s">
        <v>139</v>
      </c>
      <c r="D5" s="11"/>
      <c r="E5" s="11"/>
      <c r="F5" s="11"/>
      <c r="G5" s="11" t="s">
        <v>116</v>
      </c>
      <c r="H5" s="11"/>
      <c r="I5" s="11" t="s">
        <v>14</v>
      </c>
      <c r="J5" s="11" t="s">
        <v>103</v>
      </c>
      <c r="K5" s="12">
        <v>2</v>
      </c>
      <c r="L5" s="8"/>
      <c r="M5" s="10"/>
      <c r="N5"/>
      <c r="O5"/>
      <c r="P5"/>
      <c r="Q5"/>
      <c r="R5"/>
      <c r="S5"/>
      <c r="T5"/>
      <c r="U5"/>
      <c r="V5"/>
      <c r="W5" s="4"/>
      <c r="X5" s="10"/>
      <c r="Y5" s="10"/>
      <c r="Z5" s="10"/>
      <c r="AA5" s="10"/>
    </row>
    <row r="6" spans="1:27" ht="25.8" customHeight="1">
      <c r="A6" s="8"/>
      <c r="B6" s="9" t="s">
        <v>106</v>
      </c>
      <c r="C6" s="23" t="s">
        <v>156</v>
      </c>
      <c r="D6" s="11"/>
      <c r="E6" s="11"/>
      <c r="F6" s="11"/>
      <c r="G6" s="11" t="s">
        <v>116</v>
      </c>
      <c r="H6" s="11"/>
      <c r="I6" s="11" t="s">
        <v>14</v>
      </c>
      <c r="J6" s="11" t="s">
        <v>103</v>
      </c>
      <c r="K6" s="12">
        <v>2</v>
      </c>
      <c r="L6" s="8"/>
      <c r="M6" s="10"/>
      <c r="N6"/>
      <c r="O6"/>
      <c r="P6"/>
      <c r="Q6"/>
      <c r="R6"/>
      <c r="S6"/>
      <c r="T6"/>
      <c r="U6"/>
      <c r="V6"/>
      <c r="W6" s="4"/>
      <c r="X6" s="10"/>
      <c r="Y6" s="10"/>
      <c r="Z6" s="10"/>
      <c r="AA6" s="10"/>
    </row>
    <row r="7" spans="1:27" ht="30" customHeight="1">
      <c r="A7" s="8"/>
      <c r="B7" s="9" t="s">
        <v>107</v>
      </c>
      <c r="C7" s="23" t="s">
        <v>140</v>
      </c>
      <c r="D7" s="11"/>
      <c r="E7" s="11"/>
      <c r="F7" s="11"/>
      <c r="G7" s="11" t="s">
        <v>116</v>
      </c>
      <c r="H7" s="11"/>
      <c r="I7" s="11" t="s">
        <v>14</v>
      </c>
      <c r="J7" s="11" t="s">
        <v>103</v>
      </c>
      <c r="K7" s="12">
        <v>2</v>
      </c>
      <c r="L7" s="37" t="s">
        <v>113</v>
      </c>
      <c r="M7" s="10"/>
      <c r="N7"/>
      <c r="O7"/>
      <c r="P7"/>
      <c r="Q7"/>
      <c r="R7"/>
      <c r="S7"/>
      <c r="T7"/>
      <c r="U7"/>
      <c r="V7"/>
      <c r="W7" s="4"/>
      <c r="X7" s="10"/>
      <c r="Y7" s="10"/>
      <c r="Z7" s="10"/>
      <c r="AA7" s="10"/>
    </row>
    <row r="8" spans="1:27" ht="54" customHeight="1">
      <c r="A8" s="8"/>
      <c r="B8" s="32" t="s">
        <v>16</v>
      </c>
      <c r="C8" s="35" t="s">
        <v>17</v>
      </c>
      <c r="D8" s="33" t="s">
        <v>161</v>
      </c>
      <c r="E8" s="33" t="s">
        <v>18</v>
      </c>
      <c r="F8" s="33" t="s">
        <v>19</v>
      </c>
      <c r="G8" s="33"/>
      <c r="H8" s="33" t="s">
        <v>20</v>
      </c>
      <c r="I8" s="33" t="s">
        <v>14</v>
      </c>
      <c r="J8" s="33" t="s">
        <v>137</v>
      </c>
      <c r="K8" s="36">
        <v>8</v>
      </c>
      <c r="L8" s="8"/>
      <c r="M8" s="10"/>
      <c r="N8" s="4"/>
      <c r="O8"/>
      <c r="P8"/>
      <c r="Q8"/>
      <c r="R8"/>
      <c r="S8"/>
      <c r="T8"/>
      <c r="U8"/>
      <c r="V8"/>
      <c r="W8" s="4"/>
      <c r="X8" s="10"/>
      <c r="Y8" s="10"/>
      <c r="Z8" s="10"/>
      <c r="AA8" s="10"/>
    </row>
    <row r="9" spans="1:27" ht="26.4">
      <c r="A9" s="8"/>
      <c r="B9" s="26" t="s">
        <v>109</v>
      </c>
      <c r="C9" s="29" t="s">
        <v>143</v>
      </c>
      <c r="D9" s="14"/>
      <c r="E9" s="11"/>
      <c r="F9" s="11"/>
      <c r="G9" s="11" t="s">
        <v>116</v>
      </c>
      <c r="H9" s="11"/>
      <c r="I9" s="11" t="s">
        <v>14</v>
      </c>
      <c r="J9" s="11" t="s">
        <v>103</v>
      </c>
      <c r="K9" s="12">
        <v>2</v>
      </c>
      <c r="L9" s="8"/>
      <c r="M9" s="24"/>
      <c r="N9"/>
      <c r="O9"/>
      <c r="P9"/>
      <c r="Q9"/>
      <c r="R9"/>
      <c r="S9"/>
      <c r="T9"/>
      <c r="U9"/>
      <c r="V9"/>
      <c r="W9" s="4"/>
      <c r="X9" s="10"/>
      <c r="Y9" s="10"/>
      <c r="Z9" s="10"/>
      <c r="AA9" s="10"/>
    </row>
    <row r="10" spans="1:27" ht="29.4" customHeight="1">
      <c r="A10" s="8"/>
      <c r="B10" s="27" t="s">
        <v>111</v>
      </c>
      <c r="C10" s="29" t="s">
        <v>144</v>
      </c>
      <c r="D10" s="14"/>
      <c r="E10" s="11"/>
      <c r="F10" s="11"/>
      <c r="G10" s="11" t="s">
        <v>116</v>
      </c>
      <c r="H10" s="11"/>
      <c r="I10" s="11" t="s">
        <v>14</v>
      </c>
      <c r="J10" s="11" t="s">
        <v>103</v>
      </c>
      <c r="K10" s="12">
        <v>2</v>
      </c>
      <c r="L10" s="8"/>
      <c r="M10" s="10"/>
      <c r="N10"/>
      <c r="O10"/>
      <c r="P10"/>
      <c r="Q10"/>
      <c r="R10"/>
      <c r="S10"/>
      <c r="T10"/>
      <c r="U10"/>
      <c r="V10"/>
      <c r="W10" s="4"/>
      <c r="X10" s="10"/>
      <c r="Y10" s="10"/>
      <c r="Z10" s="10"/>
      <c r="AA10" s="10"/>
    </row>
    <row r="11" spans="1:27" ht="28.8" customHeight="1">
      <c r="A11" s="8"/>
      <c r="B11" s="27" t="s">
        <v>112</v>
      </c>
      <c r="C11" s="29" t="s">
        <v>145</v>
      </c>
      <c r="D11" s="14"/>
      <c r="E11" s="11"/>
      <c r="F11" s="11"/>
      <c r="G11" s="11" t="s">
        <v>116</v>
      </c>
      <c r="H11" s="11"/>
      <c r="I11" s="11" t="s">
        <v>14</v>
      </c>
      <c r="J11" s="11" t="s">
        <v>103</v>
      </c>
      <c r="K11" s="12">
        <v>2</v>
      </c>
      <c r="L11" s="8"/>
      <c r="M11" s="10"/>
      <c r="N11"/>
      <c r="O11"/>
      <c r="P11"/>
      <c r="Q11"/>
      <c r="R11"/>
      <c r="S11"/>
      <c r="T11"/>
      <c r="U11"/>
      <c r="V11"/>
      <c r="W11" s="4"/>
      <c r="X11" s="10"/>
      <c r="Y11" s="10"/>
      <c r="Z11" s="10"/>
      <c r="AA11" s="10"/>
    </row>
    <row r="12" spans="1:27" ht="40.799999999999997" customHeight="1">
      <c r="A12" s="8" t="s">
        <v>113</v>
      </c>
      <c r="B12" s="27" t="s">
        <v>114</v>
      </c>
      <c r="C12" s="29" t="s">
        <v>142</v>
      </c>
      <c r="D12" s="28"/>
      <c r="E12" s="11"/>
      <c r="F12" s="11"/>
      <c r="G12" s="11" t="s">
        <v>116</v>
      </c>
      <c r="H12" s="11"/>
      <c r="I12" s="11" t="s">
        <v>14</v>
      </c>
      <c r="J12" s="11" t="s">
        <v>103</v>
      </c>
      <c r="K12" s="12">
        <v>2</v>
      </c>
      <c r="L12" s="8"/>
      <c r="M12" s="10"/>
      <c r="N12"/>
      <c r="O12"/>
      <c r="P12"/>
      <c r="Q12"/>
      <c r="R12"/>
      <c r="S12"/>
      <c r="T12"/>
      <c r="U12"/>
      <c r="V12"/>
      <c r="W12" s="4"/>
      <c r="X12" s="10"/>
      <c r="Y12" s="10"/>
      <c r="Z12" s="10"/>
      <c r="AA12" s="10"/>
    </row>
    <row r="13" spans="1:27" ht="42" customHeight="1">
      <c r="A13" s="8"/>
      <c r="B13" s="32" t="s">
        <v>21</v>
      </c>
      <c r="C13" s="33" t="s">
        <v>22</v>
      </c>
      <c r="D13" s="33" t="s">
        <v>23</v>
      </c>
      <c r="E13" s="33" t="s">
        <v>24</v>
      </c>
      <c r="F13" s="33" t="s">
        <v>25</v>
      </c>
      <c r="G13" s="33"/>
      <c r="H13" s="33" t="s">
        <v>26</v>
      </c>
      <c r="I13" s="33" t="s">
        <v>14</v>
      </c>
      <c r="J13" s="33" t="s">
        <v>137</v>
      </c>
      <c r="K13" s="36">
        <v>12</v>
      </c>
      <c r="L13" s="8"/>
      <c r="M13" s="10"/>
      <c r="N13" s="4"/>
      <c r="O13"/>
      <c r="P13"/>
      <c r="Q13"/>
      <c r="R13"/>
      <c r="S13"/>
      <c r="T13"/>
      <c r="U13"/>
      <c r="V13"/>
      <c r="W13" s="4"/>
      <c r="X13" s="10"/>
      <c r="Y13" s="10"/>
      <c r="Z13" s="10"/>
      <c r="AA13" s="10"/>
    </row>
    <row r="14" spans="1:27" ht="29.4" customHeight="1">
      <c r="A14" s="8"/>
      <c r="B14" s="9" t="s">
        <v>115</v>
      </c>
      <c r="C14" s="23" t="s">
        <v>146</v>
      </c>
      <c r="D14" s="13"/>
      <c r="E14" s="14"/>
      <c r="F14" s="11"/>
      <c r="G14" s="11" t="s">
        <v>110</v>
      </c>
      <c r="H14" s="11"/>
      <c r="I14" s="11" t="s">
        <v>14</v>
      </c>
      <c r="J14" s="11" t="s">
        <v>15</v>
      </c>
      <c r="K14" s="12">
        <v>2</v>
      </c>
      <c r="L14" s="8"/>
      <c r="M14" s="10"/>
      <c r="N14"/>
      <c r="O14"/>
      <c r="P14"/>
      <c r="Q14"/>
      <c r="R14"/>
      <c r="S14"/>
      <c r="T14"/>
      <c r="U14"/>
      <c r="V14"/>
      <c r="W14" s="4"/>
      <c r="X14" s="10"/>
      <c r="Y14" s="10"/>
      <c r="Z14" s="10"/>
      <c r="AA14" s="10"/>
    </row>
    <row r="15" spans="1:27" ht="30" customHeight="1">
      <c r="A15" s="6"/>
      <c r="B15" s="9" t="s">
        <v>117</v>
      </c>
      <c r="C15" s="23" t="s">
        <v>147</v>
      </c>
      <c r="D15" s="13"/>
      <c r="E15" s="14"/>
      <c r="F15" s="11"/>
      <c r="G15" s="11" t="s">
        <v>110</v>
      </c>
      <c r="H15" s="11"/>
      <c r="I15" s="11" t="s">
        <v>14</v>
      </c>
      <c r="J15" s="11" t="s">
        <v>15</v>
      </c>
      <c r="K15" s="12">
        <v>2</v>
      </c>
      <c r="L15" s="6"/>
      <c r="N15"/>
      <c r="O15"/>
      <c r="P15"/>
      <c r="Q15"/>
      <c r="R15"/>
      <c r="S15"/>
      <c r="T15"/>
      <c r="U15"/>
      <c r="V15"/>
      <c r="W15" s="4"/>
    </row>
    <row r="16" spans="1:27" ht="28.8" customHeight="1">
      <c r="A16" s="6"/>
      <c r="B16" s="9" t="s">
        <v>118</v>
      </c>
      <c r="C16" s="22" t="s">
        <v>155</v>
      </c>
      <c r="D16" s="13"/>
      <c r="E16" s="14"/>
      <c r="F16" s="11"/>
      <c r="G16" s="11" t="s">
        <v>110</v>
      </c>
      <c r="H16" s="11"/>
      <c r="I16" s="11" t="s">
        <v>14</v>
      </c>
      <c r="J16" s="11" t="s">
        <v>15</v>
      </c>
      <c r="K16" s="12">
        <v>2</v>
      </c>
      <c r="L16" s="6"/>
      <c r="N16"/>
      <c r="O16"/>
      <c r="P16"/>
      <c r="Q16"/>
      <c r="R16"/>
      <c r="S16"/>
      <c r="T16"/>
      <c r="U16"/>
      <c r="V16"/>
      <c r="W16" s="4"/>
    </row>
    <row r="17" spans="1:23" ht="28.8" customHeight="1">
      <c r="A17" s="6"/>
      <c r="B17" s="9" t="s">
        <v>119</v>
      </c>
      <c r="C17" s="23" t="s">
        <v>148</v>
      </c>
      <c r="D17" s="13"/>
      <c r="E17" s="14"/>
      <c r="F17" s="11"/>
      <c r="G17" s="11" t="s">
        <v>110</v>
      </c>
      <c r="H17" s="11"/>
      <c r="I17" s="11" t="s">
        <v>14</v>
      </c>
      <c r="J17" s="11" t="s">
        <v>15</v>
      </c>
      <c r="K17" s="12">
        <v>2</v>
      </c>
      <c r="L17" s="6"/>
      <c r="N17"/>
      <c r="O17"/>
      <c r="P17"/>
      <c r="Q17"/>
      <c r="R17"/>
      <c r="S17"/>
      <c r="T17"/>
      <c r="U17"/>
      <c r="V17"/>
      <c r="W17" s="4"/>
    </row>
    <row r="18" spans="1:23" ht="28.8" customHeight="1">
      <c r="A18" s="6"/>
      <c r="B18" s="9" t="s">
        <v>120</v>
      </c>
      <c r="C18" s="23" t="s">
        <v>149</v>
      </c>
      <c r="D18" s="13"/>
      <c r="E18" s="14"/>
      <c r="F18" s="11"/>
      <c r="G18" s="11" t="s">
        <v>110</v>
      </c>
      <c r="H18" s="11"/>
      <c r="I18" s="11" t="s">
        <v>14</v>
      </c>
      <c r="J18" s="11" t="s">
        <v>15</v>
      </c>
      <c r="K18" s="12">
        <v>2</v>
      </c>
      <c r="L18" s="6"/>
      <c r="N18"/>
      <c r="O18"/>
      <c r="P18"/>
      <c r="Q18"/>
      <c r="R18"/>
      <c r="S18"/>
      <c r="T18"/>
      <c r="U18"/>
      <c r="V18"/>
      <c r="W18" s="4"/>
    </row>
    <row r="19" spans="1:23" ht="28.8" customHeight="1">
      <c r="A19" s="6"/>
      <c r="B19" s="9" t="s">
        <v>121</v>
      </c>
      <c r="C19" s="23" t="s">
        <v>150</v>
      </c>
      <c r="D19" s="13"/>
      <c r="E19" s="14"/>
      <c r="F19" s="11"/>
      <c r="G19" s="11" t="s">
        <v>110</v>
      </c>
      <c r="H19" s="11"/>
      <c r="I19" s="11" t="s">
        <v>14</v>
      </c>
      <c r="J19" s="11" t="s">
        <v>15</v>
      </c>
      <c r="K19" s="12">
        <v>1</v>
      </c>
      <c r="L19" s="6"/>
      <c r="N19"/>
      <c r="O19"/>
      <c r="P19"/>
      <c r="Q19"/>
      <c r="R19"/>
      <c r="S19"/>
      <c r="T19"/>
      <c r="U19"/>
      <c r="V19"/>
      <c r="W19" s="4"/>
    </row>
    <row r="20" spans="1:23" ht="28.8" customHeight="1">
      <c r="A20" s="6"/>
      <c r="B20" s="9" t="s">
        <v>122</v>
      </c>
      <c r="C20" s="23" t="s">
        <v>157</v>
      </c>
      <c r="D20" s="13"/>
      <c r="E20" s="14"/>
      <c r="F20" s="11"/>
      <c r="G20" s="11" t="s">
        <v>110</v>
      </c>
      <c r="H20" s="11"/>
      <c r="I20" s="11" t="s">
        <v>14</v>
      </c>
      <c r="J20" s="11" t="s">
        <v>15</v>
      </c>
      <c r="K20" s="12">
        <v>1</v>
      </c>
      <c r="L20" s="6"/>
      <c r="N20"/>
      <c r="O20"/>
      <c r="P20"/>
      <c r="Q20"/>
      <c r="R20"/>
      <c r="S20"/>
      <c r="T20"/>
      <c r="U20"/>
      <c r="V20"/>
      <c r="W20" s="4"/>
    </row>
    <row r="21" spans="1:23" ht="42" customHeight="1">
      <c r="A21" s="6"/>
      <c r="B21" s="32" t="s">
        <v>27</v>
      </c>
      <c r="C21" s="35" t="s">
        <v>28</v>
      </c>
      <c r="D21" s="33" t="s">
        <v>23</v>
      </c>
      <c r="E21" s="33" t="s">
        <v>29</v>
      </c>
      <c r="F21" s="33" t="s">
        <v>30</v>
      </c>
      <c r="G21" s="33"/>
      <c r="H21" s="33" t="s">
        <v>31</v>
      </c>
      <c r="I21" s="33" t="s">
        <v>14</v>
      </c>
      <c r="J21" s="33" t="s">
        <v>137</v>
      </c>
      <c r="K21" s="36">
        <v>8</v>
      </c>
      <c r="L21" s="6"/>
      <c r="N21" s="4"/>
      <c r="O21"/>
      <c r="P21"/>
      <c r="Q21"/>
      <c r="R21"/>
      <c r="S21"/>
      <c r="T21"/>
      <c r="U21"/>
      <c r="V21"/>
      <c r="W21" s="4"/>
    </row>
    <row r="22" spans="1:23" ht="28.2" customHeight="1">
      <c r="A22" s="6"/>
      <c r="B22" s="27" t="s">
        <v>123</v>
      </c>
      <c r="C22" s="29" t="s">
        <v>151</v>
      </c>
      <c r="D22" s="31"/>
      <c r="E22" s="14"/>
      <c r="F22" s="11"/>
      <c r="G22" s="25" t="s">
        <v>141</v>
      </c>
      <c r="H22" s="11"/>
      <c r="I22" s="11" t="s">
        <v>14</v>
      </c>
      <c r="J22" s="11" t="s">
        <v>15</v>
      </c>
      <c r="K22" s="12">
        <v>2</v>
      </c>
      <c r="L22" s="6"/>
      <c r="N22"/>
      <c r="O22"/>
      <c r="P22"/>
      <c r="Q22"/>
      <c r="R22"/>
      <c r="S22"/>
      <c r="T22"/>
      <c r="U22"/>
      <c r="V22"/>
      <c r="W22" s="4"/>
    </row>
    <row r="23" spans="1:23" ht="29.4" customHeight="1">
      <c r="A23" s="6"/>
      <c r="B23" s="27" t="s">
        <v>124</v>
      </c>
      <c r="C23" s="29" t="s">
        <v>152</v>
      </c>
      <c r="D23" s="31"/>
      <c r="E23" s="14"/>
      <c r="F23" s="11"/>
      <c r="G23" s="25" t="s">
        <v>141</v>
      </c>
      <c r="H23" s="11"/>
      <c r="I23" s="11" t="s">
        <v>14</v>
      </c>
      <c r="J23" s="11" t="s">
        <v>15</v>
      </c>
      <c r="K23" s="12">
        <v>2</v>
      </c>
      <c r="L23" s="6"/>
      <c r="N23"/>
      <c r="O23"/>
      <c r="P23"/>
      <c r="Q23"/>
      <c r="R23"/>
      <c r="S23"/>
      <c r="T23"/>
      <c r="U23"/>
      <c r="V23"/>
      <c r="W23" s="4"/>
    </row>
    <row r="24" spans="1:23" ht="27" customHeight="1">
      <c r="A24" s="6"/>
      <c r="B24" s="27" t="s">
        <v>125</v>
      </c>
      <c r="C24" s="29" t="s">
        <v>154</v>
      </c>
      <c r="D24" s="31"/>
      <c r="E24" s="14"/>
      <c r="F24" s="11"/>
      <c r="G24" s="25" t="s">
        <v>141</v>
      </c>
      <c r="H24" s="11"/>
      <c r="I24" s="11" t="s">
        <v>14</v>
      </c>
      <c r="J24" s="11" t="s">
        <v>15</v>
      </c>
      <c r="K24" s="12">
        <v>2</v>
      </c>
      <c r="L24" s="6"/>
      <c r="N24"/>
      <c r="O24"/>
      <c r="P24"/>
      <c r="Q24"/>
      <c r="R24"/>
      <c r="S24"/>
      <c r="T24"/>
      <c r="U24"/>
      <c r="V24"/>
      <c r="W24" s="4"/>
    </row>
    <row r="25" spans="1:23" ht="26.4" customHeight="1">
      <c r="A25" s="6"/>
      <c r="B25" s="27" t="s">
        <v>126</v>
      </c>
      <c r="C25" s="29" t="s">
        <v>153</v>
      </c>
      <c r="D25" s="31"/>
      <c r="E25" s="14"/>
      <c r="F25" s="11"/>
      <c r="G25" s="51" t="s">
        <v>141</v>
      </c>
      <c r="H25" s="11"/>
      <c r="I25" s="11" t="s">
        <v>14</v>
      </c>
      <c r="J25" s="11" t="s">
        <v>15</v>
      </c>
      <c r="K25" s="12">
        <v>1</v>
      </c>
      <c r="L25" s="6"/>
      <c r="N25"/>
      <c r="O25"/>
      <c r="P25"/>
      <c r="Q25"/>
      <c r="R25"/>
      <c r="S25"/>
      <c r="T25"/>
      <c r="U25"/>
      <c r="V25"/>
      <c r="W25" s="4"/>
    </row>
    <row r="26" spans="1:23" ht="41.4" customHeight="1">
      <c r="A26" s="6"/>
      <c r="B26" s="27" t="s">
        <v>127</v>
      </c>
      <c r="C26" s="29" t="s">
        <v>158</v>
      </c>
      <c r="D26" s="31"/>
      <c r="E26" s="14"/>
      <c r="F26" s="53"/>
      <c r="G26" s="29" t="s">
        <v>141</v>
      </c>
      <c r="H26" s="14"/>
      <c r="I26" s="11" t="s">
        <v>14</v>
      </c>
      <c r="J26" s="11" t="s">
        <v>15</v>
      </c>
      <c r="K26" s="12">
        <v>1</v>
      </c>
      <c r="L26" s="6"/>
      <c r="N26"/>
      <c r="O26"/>
      <c r="P26"/>
      <c r="Q26"/>
      <c r="R26"/>
      <c r="S26"/>
      <c r="T26"/>
      <c r="U26"/>
      <c r="V26"/>
      <c r="W26" s="4"/>
    </row>
    <row r="27" spans="1:23" ht="15.75" customHeight="1">
      <c r="A27" s="6"/>
      <c r="B27" s="6"/>
      <c r="C27" s="6"/>
      <c r="D27" s="6"/>
      <c r="E27" s="6"/>
      <c r="F27" s="6"/>
      <c r="G27" s="52"/>
      <c r="H27" s="6"/>
      <c r="I27" s="6"/>
      <c r="J27" s="6"/>
      <c r="K27" s="6"/>
      <c r="L27" s="6"/>
    </row>
    <row r="28" spans="1:23" ht="15.75" customHeight="1">
      <c r="A28" s="6"/>
      <c r="G28" s="6"/>
      <c r="L28" s="6"/>
    </row>
    <row r="29" spans="1:23" ht="15.75" customHeight="1">
      <c r="A29" s="6"/>
      <c r="L29" s="6"/>
    </row>
    <row r="30" spans="1:23" ht="15.75" customHeight="1">
      <c r="A30" s="6"/>
      <c r="L30" s="6"/>
    </row>
    <row r="31" spans="1:23" ht="15.75" customHeight="1">
      <c r="A31" s="6"/>
      <c r="L31" s="6"/>
    </row>
    <row r="32" spans="1:23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982"/>
  <sheetViews>
    <sheetView zoomScale="82" zoomScaleNormal="82" workbookViewId="0">
      <selection activeCell="H33" sqref="H33"/>
    </sheetView>
  </sheetViews>
  <sheetFormatPr baseColWidth="10" defaultColWidth="12.5546875" defaultRowHeight="15" customHeight="1"/>
  <cols>
    <col min="1" max="1" width="12.44140625" customWidth="1"/>
    <col min="2" max="2" width="24.44140625" customWidth="1"/>
    <col min="3" max="9" width="12.44140625" customWidth="1"/>
    <col min="10" max="10" width="14.21875" customWidth="1"/>
    <col min="11" max="26" width="12.44140625" customWidth="1"/>
  </cols>
  <sheetData>
    <row r="1" spans="1:11" ht="15.75" customHeight="1">
      <c r="B1" s="3"/>
      <c r="C1" s="3"/>
      <c r="D1" s="3"/>
      <c r="E1" s="3"/>
      <c r="F1" s="3"/>
      <c r="G1" s="3"/>
      <c r="H1" s="3"/>
      <c r="I1" s="3"/>
    </row>
    <row r="2" spans="1:11" ht="15.75" customHeight="1">
      <c r="A2" s="3"/>
      <c r="B2" s="1" t="s">
        <v>0</v>
      </c>
      <c r="C2" s="1" t="s">
        <v>128</v>
      </c>
      <c r="D2" s="42" t="s">
        <v>159</v>
      </c>
      <c r="E2" s="41" t="s">
        <v>129</v>
      </c>
      <c r="F2" s="41" t="s">
        <v>130</v>
      </c>
      <c r="G2" s="41" t="s">
        <v>131</v>
      </c>
      <c r="H2" s="41" t="s">
        <v>132</v>
      </c>
      <c r="I2" s="44" t="s">
        <v>133</v>
      </c>
      <c r="J2" s="45" t="s">
        <v>134</v>
      </c>
      <c r="K2" s="3"/>
    </row>
    <row r="3" spans="1:11" ht="15.75" customHeight="1">
      <c r="A3" s="3"/>
      <c r="B3" s="15" t="s">
        <v>104</v>
      </c>
      <c r="C3" s="40">
        <v>2</v>
      </c>
      <c r="D3" s="48">
        <v>2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3">
        <f>SUM(D3:I3)</f>
        <v>2</v>
      </c>
      <c r="K3" s="3"/>
    </row>
    <row r="4" spans="1:11" ht="15.75" customHeight="1">
      <c r="A4" s="3"/>
      <c r="B4" s="2" t="s">
        <v>105</v>
      </c>
      <c r="C4" s="40">
        <v>2</v>
      </c>
      <c r="D4" s="48">
        <v>1</v>
      </c>
      <c r="E4" s="48">
        <v>1</v>
      </c>
      <c r="F4" s="48">
        <v>0</v>
      </c>
      <c r="G4" s="48">
        <v>0</v>
      </c>
      <c r="H4" s="48">
        <v>0</v>
      </c>
      <c r="I4" s="48">
        <v>0</v>
      </c>
      <c r="J4" s="43">
        <f t="shared" ref="J4:J22" si="0">SUM(D4:I4)</f>
        <v>2</v>
      </c>
      <c r="K4" s="3"/>
    </row>
    <row r="5" spans="1:11" ht="15.75" customHeight="1">
      <c r="A5" s="3"/>
      <c r="B5" s="2" t="s">
        <v>106</v>
      </c>
      <c r="C5" s="40">
        <v>2</v>
      </c>
      <c r="D5" s="48">
        <v>0</v>
      </c>
      <c r="E5" s="48">
        <v>2</v>
      </c>
      <c r="F5" s="48">
        <v>1</v>
      </c>
      <c r="G5" s="48">
        <v>0</v>
      </c>
      <c r="H5" s="48">
        <v>0</v>
      </c>
      <c r="I5" s="48">
        <v>0</v>
      </c>
      <c r="J5" s="43">
        <f t="shared" si="0"/>
        <v>3</v>
      </c>
      <c r="K5" s="3"/>
    </row>
    <row r="6" spans="1:11" ht="15.75" customHeight="1">
      <c r="A6" s="3"/>
      <c r="B6" s="2" t="s">
        <v>107</v>
      </c>
      <c r="C6" s="40">
        <v>2</v>
      </c>
      <c r="D6" s="48">
        <v>0</v>
      </c>
      <c r="E6" s="48">
        <v>0</v>
      </c>
      <c r="F6" s="48">
        <v>2</v>
      </c>
      <c r="G6" s="48">
        <v>0</v>
      </c>
      <c r="H6" s="48">
        <v>0</v>
      </c>
      <c r="I6" s="48">
        <v>0</v>
      </c>
      <c r="J6" s="43">
        <f t="shared" si="0"/>
        <v>2</v>
      </c>
      <c r="K6" s="3"/>
    </row>
    <row r="7" spans="1:11" ht="15.75" customHeight="1">
      <c r="A7" s="3"/>
      <c r="B7" s="2" t="s">
        <v>109</v>
      </c>
      <c r="C7" s="40">
        <v>2</v>
      </c>
      <c r="D7" s="48">
        <v>0</v>
      </c>
      <c r="E7" s="48">
        <v>0</v>
      </c>
      <c r="F7" s="48">
        <v>1</v>
      </c>
      <c r="G7" s="48">
        <v>1</v>
      </c>
      <c r="H7" s="48">
        <v>0</v>
      </c>
      <c r="I7" s="48">
        <v>0</v>
      </c>
      <c r="J7" s="43">
        <f t="shared" si="0"/>
        <v>2</v>
      </c>
      <c r="K7" s="3"/>
    </row>
    <row r="8" spans="1:11" ht="15.75" customHeight="1">
      <c r="A8" s="3"/>
      <c r="B8" s="2" t="s">
        <v>111</v>
      </c>
      <c r="C8" s="40">
        <v>2</v>
      </c>
      <c r="D8" s="48">
        <v>0</v>
      </c>
      <c r="E8" s="48">
        <v>0</v>
      </c>
      <c r="F8" s="48">
        <v>0</v>
      </c>
      <c r="G8" s="48">
        <v>1</v>
      </c>
      <c r="H8" s="48">
        <v>0</v>
      </c>
      <c r="I8" s="48">
        <v>0</v>
      </c>
      <c r="J8" s="43">
        <f t="shared" si="0"/>
        <v>1</v>
      </c>
      <c r="K8" s="3"/>
    </row>
    <row r="9" spans="1:11" ht="15.75" customHeight="1">
      <c r="A9" s="3"/>
      <c r="B9" s="2" t="s">
        <v>112</v>
      </c>
      <c r="C9" s="40">
        <v>2</v>
      </c>
      <c r="D9" s="48">
        <v>0</v>
      </c>
      <c r="E9" s="48">
        <v>0</v>
      </c>
      <c r="F9" s="48">
        <v>0</v>
      </c>
      <c r="G9" s="48">
        <v>1</v>
      </c>
      <c r="H9" s="48">
        <v>2</v>
      </c>
      <c r="I9" s="48">
        <v>0</v>
      </c>
      <c r="J9" s="43">
        <f t="shared" si="0"/>
        <v>3</v>
      </c>
      <c r="K9" s="3"/>
    </row>
    <row r="10" spans="1:11" ht="15.75" customHeight="1">
      <c r="A10" s="3"/>
      <c r="B10" s="2" t="s">
        <v>114</v>
      </c>
      <c r="C10" s="40">
        <v>2</v>
      </c>
      <c r="D10" s="48">
        <v>0</v>
      </c>
      <c r="E10" s="48">
        <v>0</v>
      </c>
      <c r="F10" s="48">
        <v>0</v>
      </c>
      <c r="G10" s="48">
        <v>0</v>
      </c>
      <c r="H10" s="48">
        <v>1</v>
      </c>
      <c r="I10" s="48">
        <v>1</v>
      </c>
      <c r="J10" s="43">
        <f t="shared" si="0"/>
        <v>2</v>
      </c>
      <c r="K10" s="3"/>
    </row>
    <row r="11" spans="1:11" ht="15.75" customHeight="1">
      <c r="A11" s="3"/>
      <c r="B11" s="2" t="s">
        <v>115</v>
      </c>
      <c r="C11" s="40">
        <v>2</v>
      </c>
      <c r="D11" s="48">
        <v>0</v>
      </c>
      <c r="E11" s="48">
        <v>2</v>
      </c>
      <c r="F11" s="48">
        <v>0</v>
      </c>
      <c r="G11" s="48">
        <v>0</v>
      </c>
      <c r="H11" s="48">
        <v>0</v>
      </c>
      <c r="I11" s="48">
        <v>0</v>
      </c>
      <c r="J11" s="43">
        <f t="shared" si="0"/>
        <v>2</v>
      </c>
      <c r="K11" s="3"/>
    </row>
    <row r="12" spans="1:11" ht="15.75" customHeight="1">
      <c r="A12" s="3"/>
      <c r="B12" s="2" t="s">
        <v>117</v>
      </c>
      <c r="C12" s="40">
        <v>2</v>
      </c>
      <c r="D12" s="48">
        <v>0</v>
      </c>
      <c r="E12" s="48">
        <v>0</v>
      </c>
      <c r="F12" s="48">
        <v>1</v>
      </c>
      <c r="G12" s="48">
        <v>1</v>
      </c>
      <c r="H12" s="48">
        <v>0</v>
      </c>
      <c r="I12" s="48">
        <v>0</v>
      </c>
      <c r="J12" s="43">
        <f t="shared" si="0"/>
        <v>2</v>
      </c>
      <c r="K12" s="3"/>
    </row>
    <row r="13" spans="1:11" ht="15.75" customHeight="1">
      <c r="A13" s="3"/>
      <c r="B13" s="2" t="s">
        <v>118</v>
      </c>
      <c r="C13" s="40">
        <v>2</v>
      </c>
      <c r="D13" s="48">
        <v>0</v>
      </c>
      <c r="E13" s="48">
        <v>0</v>
      </c>
      <c r="F13" s="48">
        <v>0</v>
      </c>
      <c r="G13" s="48">
        <v>1</v>
      </c>
      <c r="H13" s="48">
        <v>1</v>
      </c>
      <c r="I13" s="48">
        <v>0</v>
      </c>
      <c r="J13" s="43">
        <f t="shared" si="0"/>
        <v>2</v>
      </c>
      <c r="K13" s="3"/>
    </row>
    <row r="14" spans="1:11" ht="15.75" customHeight="1">
      <c r="A14" s="3"/>
      <c r="B14" s="2" t="s">
        <v>119</v>
      </c>
      <c r="C14" s="40">
        <v>2</v>
      </c>
      <c r="D14" s="48">
        <v>0</v>
      </c>
      <c r="E14" s="48">
        <v>0</v>
      </c>
      <c r="F14" s="48">
        <v>0</v>
      </c>
      <c r="G14" s="48">
        <v>0</v>
      </c>
      <c r="H14" s="48">
        <v>2</v>
      </c>
      <c r="I14" s="48">
        <v>1</v>
      </c>
      <c r="J14" s="43">
        <f t="shared" si="0"/>
        <v>3</v>
      </c>
      <c r="K14" s="3"/>
    </row>
    <row r="15" spans="1:11" ht="15.75" customHeight="1">
      <c r="A15" s="3"/>
      <c r="B15" s="2" t="s">
        <v>120</v>
      </c>
      <c r="C15" s="40">
        <v>2</v>
      </c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48">
        <v>1</v>
      </c>
      <c r="J15" s="43">
        <f t="shared" si="0"/>
        <v>1</v>
      </c>
      <c r="K15" s="3"/>
    </row>
    <row r="16" spans="1:11" ht="15.75" customHeight="1">
      <c r="A16" s="3"/>
      <c r="B16" s="2" t="s">
        <v>121</v>
      </c>
      <c r="C16" s="40">
        <v>1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1</v>
      </c>
      <c r="J16" s="43">
        <f t="shared" si="0"/>
        <v>1</v>
      </c>
      <c r="K16" s="3"/>
    </row>
    <row r="17" spans="1:21" ht="15.75" customHeight="1">
      <c r="A17" s="3"/>
      <c r="B17" s="2" t="s">
        <v>122</v>
      </c>
      <c r="C17" s="40">
        <v>1</v>
      </c>
      <c r="D17" s="48">
        <v>0</v>
      </c>
      <c r="E17" s="48">
        <v>0</v>
      </c>
      <c r="F17" s="48">
        <v>0</v>
      </c>
      <c r="G17" s="48">
        <v>0</v>
      </c>
      <c r="H17" s="48">
        <v>0</v>
      </c>
      <c r="I17" s="48">
        <v>1</v>
      </c>
      <c r="J17" s="43">
        <f t="shared" si="0"/>
        <v>1</v>
      </c>
      <c r="K17" s="3"/>
    </row>
    <row r="18" spans="1:21" ht="15.75" customHeight="1">
      <c r="A18" s="3"/>
      <c r="B18" s="2" t="s">
        <v>123</v>
      </c>
      <c r="C18" s="40">
        <v>2</v>
      </c>
      <c r="D18" s="48">
        <v>0</v>
      </c>
      <c r="E18" s="48">
        <v>1</v>
      </c>
      <c r="F18" s="48">
        <v>1</v>
      </c>
      <c r="G18" s="48">
        <v>0</v>
      </c>
      <c r="H18" s="48">
        <v>0</v>
      </c>
      <c r="I18" s="48">
        <v>0</v>
      </c>
      <c r="J18" s="43">
        <f t="shared" si="0"/>
        <v>2</v>
      </c>
      <c r="K18" s="3"/>
    </row>
    <row r="19" spans="1:21" ht="15.75" customHeight="1">
      <c r="A19" s="3"/>
      <c r="B19" s="2" t="s">
        <v>124</v>
      </c>
      <c r="C19" s="40">
        <v>2</v>
      </c>
      <c r="D19" s="48">
        <v>0</v>
      </c>
      <c r="E19" s="48">
        <v>0</v>
      </c>
      <c r="F19" s="48">
        <v>0</v>
      </c>
      <c r="G19" s="48">
        <v>1</v>
      </c>
      <c r="H19" s="48">
        <v>0</v>
      </c>
      <c r="I19" s="48">
        <v>0</v>
      </c>
      <c r="J19" s="43">
        <f t="shared" si="0"/>
        <v>1</v>
      </c>
      <c r="K19" s="3"/>
    </row>
    <row r="20" spans="1:21" ht="15.75" customHeight="1">
      <c r="A20" s="3"/>
      <c r="B20" s="2" t="s">
        <v>125</v>
      </c>
      <c r="C20" s="40">
        <v>2</v>
      </c>
      <c r="D20" s="48">
        <v>0</v>
      </c>
      <c r="E20" s="48">
        <v>0</v>
      </c>
      <c r="F20" s="48">
        <v>0</v>
      </c>
      <c r="G20" s="48">
        <v>1</v>
      </c>
      <c r="H20" s="48">
        <v>2</v>
      </c>
      <c r="I20" s="48">
        <v>0</v>
      </c>
      <c r="J20" s="43">
        <f t="shared" si="0"/>
        <v>3</v>
      </c>
      <c r="K20" s="3"/>
    </row>
    <row r="21" spans="1:21" ht="15.75" customHeight="1">
      <c r="A21" s="3"/>
      <c r="B21" s="2" t="s">
        <v>126</v>
      </c>
      <c r="C21" s="40">
        <v>1</v>
      </c>
      <c r="D21" s="48">
        <v>0</v>
      </c>
      <c r="E21" s="48">
        <v>0</v>
      </c>
      <c r="F21" s="48">
        <v>0</v>
      </c>
      <c r="G21" s="48">
        <v>0</v>
      </c>
      <c r="H21" s="48">
        <v>1</v>
      </c>
      <c r="I21" s="48">
        <v>0</v>
      </c>
      <c r="J21" s="43">
        <f t="shared" si="0"/>
        <v>1</v>
      </c>
      <c r="K21" s="3"/>
    </row>
    <row r="22" spans="1:21" ht="15.75" customHeight="1">
      <c r="A22" s="3"/>
      <c r="B22" s="2" t="s">
        <v>127</v>
      </c>
      <c r="C22" s="40">
        <v>1</v>
      </c>
      <c r="D22" s="48">
        <v>0</v>
      </c>
      <c r="E22" s="48">
        <v>0</v>
      </c>
      <c r="F22" s="48">
        <v>0</v>
      </c>
      <c r="G22" s="48">
        <v>0</v>
      </c>
      <c r="H22" s="48">
        <v>1</v>
      </c>
      <c r="I22" s="48">
        <v>0</v>
      </c>
      <c r="J22" s="43">
        <f t="shared" si="0"/>
        <v>1</v>
      </c>
      <c r="K22" s="3"/>
      <c r="M22" s="21" t="s">
        <v>113</v>
      </c>
    </row>
    <row r="23" spans="1:21" ht="15.75" customHeight="1">
      <c r="B23" s="3"/>
      <c r="C23" s="3"/>
      <c r="D23" s="3"/>
      <c r="E23" s="3"/>
      <c r="F23" s="3"/>
      <c r="G23" s="3"/>
      <c r="H23" s="3"/>
      <c r="I23" s="3"/>
      <c r="J23" s="3"/>
    </row>
    <row r="24" spans="1:21" ht="15.75" customHeight="1">
      <c r="B24" s="38" t="s">
        <v>135</v>
      </c>
      <c r="C24" s="39">
        <f>SUM(C3:C22)</f>
        <v>36</v>
      </c>
      <c r="D24" s="39">
        <f t="shared" ref="D24:I24" si="1">C24-SUM(D3:D22)</f>
        <v>33</v>
      </c>
      <c r="E24" s="39">
        <f t="shared" si="1"/>
        <v>27</v>
      </c>
      <c r="F24" s="39">
        <f t="shared" si="1"/>
        <v>21</v>
      </c>
      <c r="G24" s="39">
        <f t="shared" si="1"/>
        <v>14</v>
      </c>
      <c r="H24" s="39">
        <f t="shared" si="1"/>
        <v>4</v>
      </c>
      <c r="I24" s="39">
        <f t="shared" si="1"/>
        <v>-1</v>
      </c>
      <c r="O24" s="21" t="s">
        <v>113</v>
      </c>
    </row>
    <row r="25" spans="1:21" ht="15.75" customHeight="1">
      <c r="B25" s="38" t="s">
        <v>136</v>
      </c>
      <c r="C25" s="39">
        <f>SUM(C3:C22)</f>
        <v>36</v>
      </c>
      <c r="D25" s="39">
        <f>C25-(SUM(C3:C22)/6)</f>
        <v>30</v>
      </c>
      <c r="E25" s="39">
        <f>D25-(SUM(C3:C22)/6)</f>
        <v>24</v>
      </c>
      <c r="F25" s="39">
        <f>E25-(SUM(C3:C22)/6)</f>
        <v>18</v>
      </c>
      <c r="G25" s="39">
        <f>F25-(SUM(C3:C22)/6)</f>
        <v>12</v>
      </c>
      <c r="H25" s="39">
        <f>G25-(SUM(C3:C22)/6)</f>
        <v>6</v>
      </c>
      <c r="I25" s="39">
        <f>H25-(SUM(C3:C22)/6)</f>
        <v>0</v>
      </c>
      <c r="M25" s="46"/>
      <c r="N25" s="46"/>
      <c r="O25" s="46"/>
      <c r="P25" s="46"/>
      <c r="Q25" s="46"/>
      <c r="R25" s="46"/>
      <c r="S25" s="46"/>
      <c r="T25" s="46"/>
      <c r="U25" s="46"/>
    </row>
    <row r="26" spans="1:21" ht="15.75" customHeight="1">
      <c r="M26" s="30"/>
      <c r="N26" s="30"/>
      <c r="O26" s="30"/>
      <c r="P26" s="30"/>
      <c r="Q26" s="30"/>
      <c r="R26" s="30"/>
      <c r="S26" s="30"/>
      <c r="T26" s="30"/>
      <c r="U26" s="47"/>
    </row>
    <row r="27" spans="1:21" ht="15.75" customHeight="1">
      <c r="K27" s="4"/>
      <c r="L27" s="4"/>
      <c r="M27" s="30"/>
      <c r="N27" s="30"/>
      <c r="O27" s="30"/>
      <c r="P27" s="30"/>
      <c r="Q27" s="30"/>
      <c r="R27" s="30"/>
      <c r="S27" s="30"/>
      <c r="T27" s="30"/>
      <c r="U27" s="47"/>
    </row>
    <row r="28" spans="1:21" ht="15.75" customHeight="1">
      <c r="M28" s="30"/>
      <c r="N28" s="30"/>
      <c r="O28" s="30"/>
      <c r="P28" s="30"/>
      <c r="Q28" s="30"/>
      <c r="R28" s="30"/>
      <c r="S28" s="30"/>
      <c r="T28" s="30"/>
      <c r="U28" s="47"/>
    </row>
    <row r="29" spans="1:21" ht="15.75" customHeight="1">
      <c r="B29" s="49" t="s">
        <v>160</v>
      </c>
      <c r="C29" s="50"/>
      <c r="D29" s="50"/>
      <c r="E29" s="50"/>
      <c r="F29" s="50"/>
      <c r="G29" s="50"/>
      <c r="M29" s="30"/>
      <c r="N29" s="30"/>
      <c r="O29" s="30"/>
      <c r="P29" s="30"/>
      <c r="Q29" s="30"/>
      <c r="R29" s="30"/>
      <c r="S29" s="30"/>
      <c r="T29" s="30"/>
      <c r="U29" s="47"/>
    </row>
    <row r="30" spans="1:21" ht="15.75" customHeight="1">
      <c r="B30" s="50"/>
      <c r="C30" s="50"/>
      <c r="D30" s="50"/>
      <c r="E30" s="50"/>
      <c r="F30" s="50"/>
      <c r="G30" s="50"/>
      <c r="M30" s="47"/>
      <c r="N30" s="47"/>
      <c r="O30" s="30"/>
      <c r="P30" s="30"/>
      <c r="Q30" s="30"/>
      <c r="R30" s="30"/>
      <c r="S30" s="30"/>
      <c r="T30" s="30"/>
      <c r="U30" s="47"/>
    </row>
    <row r="31" spans="1:21" ht="15.75" customHeight="1">
      <c r="B31" s="50"/>
      <c r="C31" s="50"/>
      <c r="D31" s="50"/>
      <c r="E31" s="50"/>
      <c r="F31" s="50"/>
      <c r="G31" s="50"/>
      <c r="M31" s="30"/>
      <c r="N31" s="30"/>
      <c r="O31" s="30"/>
      <c r="P31" s="30"/>
      <c r="Q31" s="30"/>
      <c r="R31" s="30"/>
      <c r="S31" s="30"/>
      <c r="T31" s="30"/>
      <c r="U31" s="47"/>
    </row>
    <row r="32" spans="1:21" ht="15.75" customHeight="1">
      <c r="B32" s="50"/>
      <c r="C32" s="50"/>
      <c r="D32" s="50"/>
      <c r="E32" s="50"/>
      <c r="F32" s="50"/>
      <c r="G32" s="50"/>
      <c r="M32" s="30"/>
      <c r="N32" s="30"/>
      <c r="O32" s="30"/>
      <c r="P32" s="30"/>
      <c r="Q32" s="30"/>
      <c r="R32" s="30"/>
      <c r="S32" s="30"/>
      <c r="T32" s="30"/>
      <c r="U32" s="47"/>
    </row>
    <row r="33" spans="2:21" ht="15.75" customHeight="1">
      <c r="B33" s="50"/>
      <c r="C33" s="50"/>
      <c r="D33" s="50"/>
      <c r="E33" s="50"/>
      <c r="F33" s="50"/>
      <c r="G33" s="50"/>
      <c r="M33" s="30"/>
      <c r="N33" s="30"/>
      <c r="O33" s="30"/>
      <c r="P33" s="30"/>
      <c r="Q33" s="30"/>
      <c r="R33" s="30"/>
      <c r="S33" s="30"/>
      <c r="T33" s="30"/>
      <c r="U33" s="47"/>
    </row>
    <row r="34" spans="2:21" ht="15.75" customHeight="1">
      <c r="B34" s="50"/>
      <c r="C34" s="50"/>
      <c r="D34" s="50"/>
      <c r="E34" s="50"/>
      <c r="F34" s="50"/>
      <c r="G34" s="50"/>
      <c r="M34" s="30"/>
      <c r="N34" s="30"/>
      <c r="O34" s="30"/>
      <c r="P34" s="30"/>
      <c r="Q34" s="30"/>
      <c r="R34" s="30"/>
      <c r="S34" s="30"/>
      <c r="T34" s="30"/>
      <c r="U34" s="47"/>
    </row>
    <row r="35" spans="2:21" ht="15.75" customHeight="1">
      <c r="B35" s="50"/>
      <c r="C35" s="50"/>
      <c r="D35" s="50"/>
      <c r="E35" s="50"/>
      <c r="F35" s="50"/>
      <c r="G35" s="50"/>
      <c r="M35" s="47"/>
      <c r="N35" s="47"/>
      <c r="O35" s="30"/>
      <c r="P35" s="30"/>
      <c r="Q35" s="30"/>
      <c r="R35" s="30"/>
      <c r="S35" s="30"/>
      <c r="T35" s="30"/>
      <c r="U35" s="47"/>
    </row>
    <row r="36" spans="2:21" ht="15.75" customHeight="1">
      <c r="B36" s="50"/>
      <c r="C36" s="50"/>
      <c r="D36" s="50"/>
      <c r="E36" s="50"/>
      <c r="F36" s="50"/>
      <c r="G36" s="50"/>
      <c r="M36" s="30"/>
      <c r="N36" s="30"/>
      <c r="O36" s="30"/>
      <c r="P36" s="30"/>
      <c r="Q36" s="30"/>
      <c r="R36" s="30"/>
      <c r="S36" s="30"/>
      <c r="T36" s="30"/>
      <c r="U36" s="47"/>
    </row>
    <row r="37" spans="2:21" ht="15.75" customHeight="1">
      <c r="M37" s="30"/>
      <c r="N37" s="30"/>
      <c r="O37" s="30"/>
      <c r="P37" s="30"/>
      <c r="Q37" s="30"/>
      <c r="R37" s="30"/>
      <c r="S37" s="30"/>
      <c r="T37" s="30"/>
      <c r="U37" s="47"/>
    </row>
    <row r="38" spans="2:21" ht="15.75" customHeight="1">
      <c r="M38" s="30"/>
      <c r="N38" s="30"/>
      <c r="O38" s="30"/>
      <c r="P38" s="30"/>
      <c r="Q38" s="30"/>
      <c r="R38" s="30"/>
      <c r="S38" s="30"/>
      <c r="T38" s="30"/>
      <c r="U38" s="47"/>
    </row>
    <row r="39" spans="2:21" ht="15.75" customHeight="1">
      <c r="M39" s="30"/>
      <c r="N39" s="30"/>
      <c r="O39" s="30"/>
      <c r="P39" s="30"/>
      <c r="Q39" s="30"/>
      <c r="R39" s="30"/>
      <c r="S39" s="30"/>
      <c r="T39" s="30"/>
      <c r="U39" s="47"/>
    </row>
    <row r="40" spans="2:21" ht="15.75" customHeight="1">
      <c r="M40" s="30"/>
      <c r="N40" s="30"/>
      <c r="O40" s="30"/>
      <c r="P40" s="30"/>
      <c r="Q40" s="30"/>
      <c r="R40" s="30"/>
      <c r="S40" s="30"/>
      <c r="T40" s="30"/>
      <c r="U40" s="47"/>
    </row>
    <row r="41" spans="2:21" ht="15.75" customHeight="1">
      <c r="M41" s="30"/>
      <c r="N41" s="30"/>
      <c r="O41" s="30"/>
      <c r="P41" s="30"/>
      <c r="Q41" s="30"/>
      <c r="R41" s="30"/>
      <c r="S41" s="30"/>
      <c r="T41" s="30"/>
      <c r="U41" s="47"/>
    </row>
    <row r="42" spans="2:21" ht="15.75" customHeight="1">
      <c r="M42" s="30"/>
      <c r="N42" s="30"/>
      <c r="O42" s="30"/>
      <c r="P42" s="30"/>
      <c r="Q42" s="30"/>
      <c r="R42" s="30"/>
      <c r="S42" s="30"/>
      <c r="T42" s="30"/>
      <c r="U42" s="47"/>
    </row>
    <row r="43" spans="2:21" ht="15.75" customHeight="1">
      <c r="M43" s="47"/>
      <c r="N43" s="47"/>
      <c r="O43" s="30"/>
      <c r="P43" s="30"/>
      <c r="Q43" s="30"/>
      <c r="R43" s="30"/>
      <c r="S43" s="30"/>
      <c r="T43" s="30"/>
      <c r="U43" s="47"/>
    </row>
    <row r="44" spans="2:21" ht="15.75" customHeight="1">
      <c r="M44" s="30"/>
      <c r="N44" s="30"/>
      <c r="O44" s="30"/>
      <c r="P44" s="30"/>
      <c r="Q44" s="30"/>
      <c r="R44" s="30"/>
      <c r="S44" s="30"/>
      <c r="T44" s="30"/>
      <c r="U44" s="47"/>
    </row>
    <row r="45" spans="2:21" ht="15.75" customHeight="1">
      <c r="M45" s="30"/>
      <c r="N45" s="30"/>
      <c r="O45" s="30"/>
      <c r="P45" s="30"/>
      <c r="Q45" s="30"/>
      <c r="R45" s="30"/>
      <c r="S45" s="30"/>
      <c r="T45" s="30"/>
      <c r="U45" s="47"/>
    </row>
    <row r="46" spans="2:21" ht="15.75" customHeight="1">
      <c r="M46" s="30"/>
      <c r="N46" s="30"/>
      <c r="O46" s="30"/>
      <c r="P46" s="30"/>
      <c r="Q46" s="30"/>
      <c r="R46" s="30"/>
      <c r="S46" s="30"/>
      <c r="T46" s="30"/>
      <c r="U46" s="47"/>
    </row>
    <row r="47" spans="2:21" ht="15.75" customHeight="1">
      <c r="M47" s="30"/>
      <c r="N47" s="30"/>
      <c r="O47" s="30"/>
      <c r="P47" s="30"/>
      <c r="Q47" s="30"/>
      <c r="R47" s="30"/>
      <c r="S47" s="30"/>
      <c r="T47" s="30"/>
      <c r="U47" s="47"/>
    </row>
    <row r="48" spans="2:21" ht="15.75" customHeight="1">
      <c r="M48" s="30"/>
      <c r="N48" s="30"/>
      <c r="O48" s="30"/>
      <c r="P48" s="30"/>
      <c r="Q48" s="30"/>
      <c r="R48" s="30"/>
      <c r="S48" s="30"/>
      <c r="T48" s="30"/>
      <c r="U48" s="47"/>
    </row>
    <row r="49" spans="13:21" ht="15.75" customHeight="1">
      <c r="M49" s="47"/>
      <c r="N49" s="47"/>
      <c r="O49" s="30"/>
      <c r="P49" s="30"/>
      <c r="Q49" s="30"/>
      <c r="R49" s="30"/>
      <c r="S49" s="30"/>
      <c r="T49" s="30"/>
      <c r="U49" s="47"/>
    </row>
    <row r="50" spans="13:21" ht="15.75" customHeight="1"/>
    <row r="51" spans="13:21" ht="15.75" customHeight="1"/>
    <row r="52" spans="13:21" ht="15.75" customHeight="1"/>
    <row r="53" spans="13:21" ht="15.75" customHeight="1"/>
    <row r="54" spans="13:21" ht="15.75" customHeight="1"/>
    <row r="55" spans="13:21" ht="15.75" customHeight="1"/>
    <row r="56" spans="13:21" ht="15.75" customHeight="1"/>
    <row r="57" spans="13:21" ht="15.75" customHeight="1"/>
    <row r="58" spans="13:21" ht="15.75" customHeight="1"/>
    <row r="59" spans="13:21" ht="15.75" customHeight="1"/>
    <row r="60" spans="13:21" ht="15.75" customHeight="1"/>
    <row r="61" spans="13:21" ht="15.75" customHeight="1"/>
    <row r="62" spans="13:21" ht="15.75" customHeight="1"/>
    <row r="63" spans="13:21" ht="15.75" customHeight="1"/>
    <row r="64" spans="13:2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">
    <mergeCell ref="B29:G3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sprint1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REISHEL DAYELIN TIPAN AVILA</cp:lastModifiedBy>
  <cp:revision/>
  <dcterms:created xsi:type="dcterms:W3CDTF">2023-06-05T13:12:31Z</dcterms:created>
  <dcterms:modified xsi:type="dcterms:W3CDTF">2025-12-11T05:10:36Z</dcterms:modified>
  <cp:category/>
  <cp:contentStatus/>
</cp:coreProperties>
</file>